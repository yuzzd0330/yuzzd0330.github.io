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2 Documents\SURF\Task3\"/>
    </mc:Choice>
  </mc:AlternateContent>
  <xr:revisionPtr revIDLastSave="0" documentId="13_ncr:1_{9FCB1995-85BB-4DD0-9379-CB45D8E82FC6}" xr6:coauthVersionLast="47" xr6:coauthVersionMax="47" xr10:uidLastSave="{00000000-0000-0000-0000-000000000000}"/>
  <bookViews>
    <workbookView xWindow="-98" yWindow="-98" windowWidth="23596" windowHeight="15076" tabRatio="886" activeTab="8" xr2:uid="{62F8CA7E-E1DC-41AF-A166-91388F9C0F5E}"/>
  </bookViews>
  <sheets>
    <sheet name="Cover" sheetId="23" r:id="rId1"/>
    <sheet name="BS_ORIG" sheetId="18" r:id="rId2"/>
    <sheet name="IS_ORIG" sheetId="19" r:id="rId3"/>
    <sheet name="BS" sheetId="1" r:id="rId4"/>
    <sheet name="IS" sheetId="2" r:id="rId5"/>
    <sheet name="Sales forecast" sheetId="6" r:id="rId6"/>
    <sheet name="Assumption" sheetId="7" r:id="rId7"/>
    <sheet name="Capex" sheetId="9" r:id="rId8"/>
    <sheet name="FCFF" sheetId="11" r:id="rId9"/>
    <sheet name="Beta" sheetId="15" r:id="rId10"/>
    <sheet name="DCF" sheetId="12" r:id="rId11"/>
    <sheet name="Reference" sheetId="1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9" l="1"/>
  <c r="J16" i="9"/>
  <c r="K16" i="9"/>
  <c r="L16" i="9" s="1"/>
  <c r="H16" i="9"/>
  <c r="I7" i="9"/>
  <c r="J7" i="9" s="1"/>
  <c r="H7" i="9"/>
  <c r="H32" i="7"/>
  <c r="I32" i="7" s="1"/>
  <c r="J32" i="7" s="1"/>
  <c r="G32" i="7"/>
  <c r="H31" i="7"/>
  <c r="G31" i="7"/>
  <c r="G16" i="7"/>
  <c r="H16" i="7"/>
  <c r="I16" i="7"/>
  <c r="J16" i="7"/>
  <c r="K16" i="7" s="1"/>
  <c r="G17" i="7"/>
  <c r="I17" i="7" s="1"/>
  <c r="H17" i="7"/>
  <c r="G18" i="7"/>
  <c r="H18" i="7"/>
  <c r="I18" i="7"/>
  <c r="J18" i="7"/>
  <c r="K18" i="7"/>
  <c r="G19" i="7"/>
  <c r="H19" i="7" s="1"/>
  <c r="G20" i="7"/>
  <c r="H20" i="7" s="1"/>
  <c r="G21" i="7"/>
  <c r="H21" i="7"/>
  <c r="I21" i="7"/>
  <c r="J21" i="7"/>
  <c r="K21" i="7" s="1"/>
  <c r="G22" i="7"/>
  <c r="I22" i="7" s="1"/>
  <c r="H22" i="7"/>
  <c r="G23" i="7"/>
  <c r="H23" i="7"/>
  <c r="G24" i="7"/>
  <c r="H24" i="7"/>
  <c r="I24" i="7"/>
  <c r="J24" i="7"/>
  <c r="K24" i="7"/>
  <c r="G25" i="7"/>
  <c r="J25" i="7" s="1"/>
  <c r="H25" i="7"/>
  <c r="I25" i="7"/>
  <c r="H15" i="7"/>
  <c r="I15" i="7"/>
  <c r="J15" i="7"/>
  <c r="K15" i="7" s="1"/>
  <c r="G15" i="7"/>
  <c r="G4" i="7"/>
  <c r="H4" i="7" s="1"/>
  <c r="G5" i="7"/>
  <c r="H5" i="7" s="1"/>
  <c r="G6" i="7"/>
  <c r="H6" i="7" s="1"/>
  <c r="G7" i="7"/>
  <c r="G8" i="7"/>
  <c r="H8" i="7" s="1"/>
  <c r="G9" i="7"/>
  <c r="H9" i="7" s="1"/>
  <c r="G10" i="7"/>
  <c r="G11" i="7"/>
  <c r="I11" i="7" s="1"/>
  <c r="H11" i="7"/>
  <c r="H3" i="7"/>
  <c r="I3" i="7" s="1"/>
  <c r="G3" i="7"/>
  <c r="I4" i="6"/>
  <c r="J4" i="6" s="1"/>
  <c r="H4" i="6"/>
  <c r="B2" i="12"/>
  <c r="B38" i="12" s="1"/>
  <c r="B4" i="23"/>
  <c r="D2" i="12"/>
  <c r="E7" i="2"/>
  <c r="B10" i="2"/>
  <c r="C10" i="2"/>
  <c r="D10" i="2"/>
  <c r="B11" i="2"/>
  <c r="C11" i="2"/>
  <c r="D11" i="2"/>
  <c r="L7" i="9" l="1"/>
  <c r="K7" i="9"/>
  <c r="K32" i="7"/>
  <c r="I31" i="7"/>
  <c r="I20" i="7"/>
  <c r="J17" i="7"/>
  <c r="K17" i="7" s="1"/>
  <c r="I23" i="7"/>
  <c r="J23" i="7" s="1"/>
  <c r="J22" i="7"/>
  <c r="K22" i="7"/>
  <c r="K25" i="7"/>
  <c r="I19" i="7"/>
  <c r="I6" i="7"/>
  <c r="J6" i="7" s="1"/>
  <c r="I9" i="7"/>
  <c r="J9" i="7" s="1"/>
  <c r="J8" i="7"/>
  <c r="K8" i="7" s="1"/>
  <c r="I5" i="7"/>
  <c r="J11" i="7"/>
  <c r="K11" i="7" s="1"/>
  <c r="I8" i="7"/>
  <c r="H10" i="7"/>
  <c r="I4" i="7"/>
  <c r="H7" i="7"/>
  <c r="I7" i="7" s="1"/>
  <c r="J7" i="7" s="1"/>
  <c r="J3" i="7"/>
  <c r="K3" i="7" s="1"/>
  <c r="K4" i="6"/>
  <c r="L4" i="6"/>
  <c r="B16" i="12"/>
  <c r="C6" i="2"/>
  <c r="D6" i="2"/>
  <c r="E6" i="2"/>
  <c r="F6" i="2"/>
  <c r="G6" i="2"/>
  <c r="G7" i="2"/>
  <c r="F7" i="2"/>
  <c r="K31" i="7" l="1"/>
  <c r="J31" i="7"/>
  <c r="J19" i="7"/>
  <c r="K19" i="7" s="1"/>
  <c r="J20" i="7"/>
  <c r="K20" i="7" s="1"/>
  <c r="K23" i="7"/>
  <c r="J10" i="7"/>
  <c r="K5" i="7"/>
  <c r="J5" i="7"/>
  <c r="K9" i="7"/>
  <c r="K6" i="7"/>
  <c r="I10" i="7"/>
  <c r="J4" i="7"/>
  <c r="K4" i="7" s="1"/>
  <c r="K7" i="7"/>
  <c r="G10" i="1"/>
  <c r="G14" i="9" s="1"/>
  <c r="G13" i="9" s="1"/>
  <c r="F10" i="1"/>
  <c r="F14" i="9" s="1"/>
  <c r="F13" i="9" s="1"/>
  <c r="E10" i="1"/>
  <c r="E14" i="9" s="1"/>
  <c r="E13" i="9" s="1"/>
  <c r="D10" i="1"/>
  <c r="D14" i="9" s="1"/>
  <c r="D13" i="9" s="1"/>
  <c r="C10" i="1"/>
  <c r="C14" i="9" s="1"/>
  <c r="C13" i="9" s="1"/>
  <c r="B10" i="1"/>
  <c r="B14" i="9" s="1"/>
  <c r="B13" i="9" s="1"/>
  <c r="G4" i="15"/>
  <c r="H4" i="15"/>
  <c r="G5" i="15"/>
  <c r="H5" i="15"/>
  <c r="G6" i="15"/>
  <c r="H6" i="15"/>
  <c r="G7" i="15"/>
  <c r="H7" i="15"/>
  <c r="G8" i="15"/>
  <c r="H8" i="15"/>
  <c r="G9" i="15"/>
  <c r="H9" i="15"/>
  <c r="G10" i="15"/>
  <c r="H10" i="15"/>
  <c r="G11" i="15"/>
  <c r="H11" i="15"/>
  <c r="G12" i="15"/>
  <c r="H12" i="15"/>
  <c r="G13" i="15"/>
  <c r="H13" i="15"/>
  <c r="G14" i="15"/>
  <c r="H14" i="15"/>
  <c r="G15" i="15"/>
  <c r="H15" i="15"/>
  <c r="G16" i="15"/>
  <c r="H16" i="15"/>
  <c r="G17" i="15"/>
  <c r="H17" i="15"/>
  <c r="G18" i="15"/>
  <c r="H18" i="15"/>
  <c r="G19" i="15"/>
  <c r="H19" i="15"/>
  <c r="G20" i="15"/>
  <c r="H20" i="15"/>
  <c r="G21" i="15"/>
  <c r="H21" i="15"/>
  <c r="G22" i="15"/>
  <c r="H22" i="15"/>
  <c r="G23" i="15"/>
  <c r="H23" i="15"/>
  <c r="G24" i="15"/>
  <c r="H24" i="15"/>
  <c r="G25" i="15"/>
  <c r="H25" i="15"/>
  <c r="G26" i="15"/>
  <c r="H26" i="15"/>
  <c r="G27" i="15"/>
  <c r="H27" i="15"/>
  <c r="G28" i="15"/>
  <c r="H28" i="15"/>
  <c r="G29" i="15"/>
  <c r="H29" i="15"/>
  <c r="G30" i="15"/>
  <c r="H30" i="15"/>
  <c r="G31" i="15"/>
  <c r="H31" i="15"/>
  <c r="G32" i="15"/>
  <c r="H32" i="15"/>
  <c r="G33" i="15"/>
  <c r="H33" i="15"/>
  <c r="G34" i="15"/>
  <c r="H34" i="15"/>
  <c r="G35" i="15"/>
  <c r="H35" i="15"/>
  <c r="G36" i="15"/>
  <c r="H36" i="15"/>
  <c r="G37" i="15"/>
  <c r="H37" i="15"/>
  <c r="G38" i="15"/>
  <c r="H38" i="15"/>
  <c r="G39" i="15"/>
  <c r="H39" i="15"/>
  <c r="G40" i="15"/>
  <c r="H40" i="15"/>
  <c r="G41" i="15"/>
  <c r="H41" i="15"/>
  <c r="G42" i="15"/>
  <c r="H42" i="15"/>
  <c r="G43" i="15"/>
  <c r="H43" i="15"/>
  <c r="G44" i="15"/>
  <c r="H44" i="15"/>
  <c r="G45" i="15"/>
  <c r="H45" i="15"/>
  <c r="G46" i="15"/>
  <c r="H46" i="15"/>
  <c r="G47" i="15"/>
  <c r="H47" i="15"/>
  <c r="G48" i="15"/>
  <c r="H48" i="15"/>
  <c r="G49" i="15"/>
  <c r="H49" i="15"/>
  <c r="G50" i="15"/>
  <c r="H50" i="15"/>
  <c r="G51" i="15"/>
  <c r="H51" i="15"/>
  <c r="G52" i="15"/>
  <c r="H52" i="15"/>
  <c r="G53" i="15"/>
  <c r="H53" i="15"/>
  <c r="G54" i="15"/>
  <c r="H54" i="15"/>
  <c r="G55" i="15"/>
  <c r="H55" i="15"/>
  <c r="G56" i="15"/>
  <c r="H56" i="15"/>
  <c r="G57" i="15"/>
  <c r="H57" i="15"/>
  <c r="G58" i="15"/>
  <c r="H58" i="15"/>
  <c r="G59" i="15"/>
  <c r="H59" i="15"/>
  <c r="G60" i="15"/>
  <c r="H60" i="15"/>
  <c r="G61" i="15"/>
  <c r="H61" i="15"/>
  <c r="G62" i="15"/>
  <c r="H62" i="15"/>
  <c r="G63" i="15"/>
  <c r="H63" i="15"/>
  <c r="G64" i="15"/>
  <c r="H64" i="15"/>
  <c r="G65" i="15"/>
  <c r="H65" i="15"/>
  <c r="G66" i="15"/>
  <c r="H66" i="15"/>
  <c r="G67" i="15"/>
  <c r="H67" i="15"/>
  <c r="G68" i="15"/>
  <c r="H68" i="15"/>
  <c r="G69" i="15"/>
  <c r="H69" i="15"/>
  <c r="G70" i="15"/>
  <c r="H70" i="15"/>
  <c r="G71" i="15"/>
  <c r="H71" i="15"/>
  <c r="G72" i="15"/>
  <c r="H72" i="15"/>
  <c r="H3" i="15"/>
  <c r="G3" i="15"/>
  <c r="C13" i="2"/>
  <c r="D13" i="2"/>
  <c r="E13" i="2"/>
  <c r="F13" i="2"/>
  <c r="G13" i="2"/>
  <c r="B13" i="2"/>
  <c r="F10" i="2"/>
  <c r="G10" i="2"/>
  <c r="F11" i="2"/>
  <c r="G11" i="2"/>
  <c r="E11" i="2"/>
  <c r="E10" i="2"/>
  <c r="C7" i="2"/>
  <c r="D7" i="2"/>
  <c r="B7" i="2"/>
  <c r="K10" i="7" l="1"/>
  <c r="K1" i="15"/>
  <c r="B12" i="12" s="1"/>
  <c r="C25" i="1"/>
  <c r="D25" i="1"/>
  <c r="E25" i="1"/>
  <c r="F25" i="1"/>
  <c r="G25" i="1"/>
  <c r="B25" i="1"/>
  <c r="C20" i="1" l="1"/>
  <c r="D20" i="1"/>
  <c r="E20" i="1"/>
  <c r="F20" i="1"/>
  <c r="G20" i="1"/>
  <c r="B20" i="1"/>
  <c r="C16" i="1"/>
  <c r="D16" i="1"/>
  <c r="E16" i="1"/>
  <c r="F16" i="1"/>
  <c r="G16" i="1"/>
  <c r="B16" i="1"/>
  <c r="C15" i="1"/>
  <c r="B31" i="7" s="1"/>
  <c r="D15" i="1"/>
  <c r="C31" i="7" s="1"/>
  <c r="E15" i="1"/>
  <c r="D31" i="7" s="1"/>
  <c r="F15" i="1"/>
  <c r="E31" i="7" s="1"/>
  <c r="G15" i="1"/>
  <c r="B15" i="1"/>
  <c r="C5" i="1"/>
  <c r="D5" i="1"/>
  <c r="E5" i="1"/>
  <c r="F5" i="1"/>
  <c r="G5" i="1"/>
  <c r="B5" i="1"/>
  <c r="C4" i="1"/>
  <c r="D4" i="1"/>
  <c r="E4" i="1"/>
  <c r="F4" i="1"/>
  <c r="G4" i="1"/>
  <c r="B4" i="1"/>
  <c r="C3" i="1"/>
  <c r="D3" i="1"/>
  <c r="E3" i="1"/>
  <c r="F3" i="1"/>
  <c r="G3" i="1"/>
  <c r="B3" i="1"/>
  <c r="F31" i="7" l="1"/>
  <c r="G3" i="6"/>
  <c r="H3" i="6" s="1"/>
  <c r="I3" i="6" s="1"/>
  <c r="J3" i="6" s="1"/>
  <c r="K3" i="6" s="1"/>
  <c r="L3" i="6" s="1"/>
  <c r="F3" i="6"/>
  <c r="E3" i="6"/>
  <c r="D3" i="6"/>
  <c r="C3" i="6"/>
  <c r="B3" i="6"/>
  <c r="C9" i="2"/>
  <c r="D9" i="2"/>
  <c r="E9" i="2"/>
  <c r="F9" i="2"/>
  <c r="G9" i="2"/>
  <c r="B9" i="2"/>
  <c r="C8" i="2"/>
  <c r="D8" i="2"/>
  <c r="E8" i="2"/>
  <c r="F8" i="2"/>
  <c r="G8" i="2"/>
  <c r="B8" i="2"/>
  <c r="G20" i="2"/>
  <c r="G25" i="2" s="1"/>
  <c r="F20" i="2"/>
  <c r="F25" i="2" s="1"/>
  <c r="E20" i="2"/>
  <c r="E25" i="2" s="1"/>
  <c r="D20" i="2"/>
  <c r="D25" i="2" s="1"/>
  <c r="C20" i="2"/>
  <c r="C25" i="2" s="1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B6" i="2"/>
  <c r="C5" i="2"/>
  <c r="D5" i="2"/>
  <c r="E5" i="2"/>
  <c r="F5" i="2"/>
  <c r="G5" i="2"/>
  <c r="B5" i="2"/>
  <c r="C4" i="2"/>
  <c r="D4" i="2"/>
  <c r="E4" i="2"/>
  <c r="F4" i="2"/>
  <c r="G4" i="2"/>
  <c r="B4" i="2"/>
  <c r="C3" i="2"/>
  <c r="B22" i="7" s="1"/>
  <c r="D3" i="2"/>
  <c r="C16" i="7" s="1"/>
  <c r="E3" i="2"/>
  <c r="D24" i="7" s="1"/>
  <c r="F3" i="2"/>
  <c r="E21" i="7" s="1"/>
  <c r="G3" i="2"/>
  <c r="F22" i="7" s="1"/>
  <c r="B3" i="2"/>
  <c r="C26" i="1"/>
  <c r="D26" i="1"/>
  <c r="E26" i="1"/>
  <c r="F26" i="1"/>
  <c r="G26" i="1"/>
  <c r="C28" i="1"/>
  <c r="D28" i="1"/>
  <c r="E28" i="1"/>
  <c r="F28" i="1"/>
  <c r="G28" i="1"/>
  <c r="B28" i="1"/>
  <c r="B26" i="1"/>
  <c r="C22" i="1"/>
  <c r="D22" i="1"/>
  <c r="E22" i="1"/>
  <c r="F22" i="1"/>
  <c r="G22" i="1"/>
  <c r="C23" i="1"/>
  <c r="D23" i="1"/>
  <c r="E23" i="1"/>
  <c r="F23" i="1"/>
  <c r="G23" i="1"/>
  <c r="B23" i="1"/>
  <c r="B22" i="1"/>
  <c r="C18" i="1"/>
  <c r="D18" i="1"/>
  <c r="E18" i="1"/>
  <c r="F18" i="1"/>
  <c r="G18" i="1"/>
  <c r="B18" i="1"/>
  <c r="C9" i="1"/>
  <c r="C5" i="9" s="1"/>
  <c r="D9" i="1"/>
  <c r="D5" i="9" s="1"/>
  <c r="E9" i="1"/>
  <c r="E5" i="9" s="1"/>
  <c r="F9" i="1"/>
  <c r="F5" i="9" s="1"/>
  <c r="G9" i="1"/>
  <c r="G5" i="9" s="1"/>
  <c r="C12" i="1"/>
  <c r="D12" i="1"/>
  <c r="E12" i="1"/>
  <c r="F12" i="1"/>
  <c r="G12" i="1"/>
  <c r="B12" i="1"/>
  <c r="B9" i="1"/>
  <c r="B5" i="9" s="1"/>
  <c r="B4" i="9" s="1"/>
  <c r="C7" i="1"/>
  <c r="D7" i="1"/>
  <c r="E7" i="1"/>
  <c r="F7" i="1"/>
  <c r="G7" i="1"/>
  <c r="B7" i="1"/>
  <c r="E16" i="7" l="1"/>
  <c r="C24" i="7"/>
  <c r="E24" i="7"/>
  <c r="D16" i="7"/>
  <c r="C22" i="7"/>
  <c r="C21" i="7"/>
  <c r="E22" i="7"/>
  <c r="F24" i="7"/>
  <c r="B24" i="7"/>
  <c r="B21" i="7"/>
  <c r="D22" i="7"/>
  <c r="D21" i="7"/>
  <c r="F16" i="7"/>
  <c r="F21" i="7"/>
  <c r="B16" i="7"/>
  <c r="C4" i="9"/>
  <c r="G4" i="9"/>
  <c r="F4" i="9"/>
  <c r="E4" i="9"/>
  <c r="D4" i="9"/>
  <c r="F14" i="2"/>
  <c r="E9" i="7" s="1"/>
  <c r="G14" i="2"/>
  <c r="F9" i="7" s="1"/>
  <c r="B14" i="2"/>
  <c r="C14" i="2"/>
  <c r="B9" i="7" s="1"/>
  <c r="D14" i="2"/>
  <c r="C9" i="7" s="1"/>
  <c r="E14" i="2"/>
  <c r="D9" i="7" s="1"/>
  <c r="F8" i="7"/>
  <c r="E7" i="7"/>
  <c r="B27" i="1"/>
  <c r="G29" i="1"/>
  <c r="D6" i="7"/>
  <c r="C8" i="7"/>
  <c r="C6" i="7"/>
  <c r="F21" i="1"/>
  <c r="D21" i="1"/>
  <c r="D7" i="7"/>
  <c r="B8" i="7"/>
  <c r="E29" i="1"/>
  <c r="C7" i="7"/>
  <c r="B6" i="7"/>
  <c r="B7" i="7"/>
  <c r="E6" i="7"/>
  <c r="E21" i="1"/>
  <c r="F6" i="7"/>
  <c r="E8" i="7"/>
  <c r="F7" i="7"/>
  <c r="D8" i="7"/>
  <c r="F27" i="1"/>
  <c r="G13" i="1"/>
  <c r="C27" i="1"/>
  <c r="F13" i="1"/>
  <c r="D29" i="1"/>
  <c r="B29" i="1"/>
  <c r="C29" i="1"/>
  <c r="D27" i="1"/>
  <c r="G21" i="1"/>
  <c r="B21" i="1"/>
  <c r="B13" i="1"/>
  <c r="B11" i="1"/>
  <c r="E13" i="1"/>
  <c r="B17" i="1"/>
  <c r="C11" i="1"/>
  <c r="F4" i="6"/>
  <c r="C4" i="6"/>
  <c r="G4" i="6"/>
  <c r="H3" i="2"/>
  <c r="D4" i="6"/>
  <c r="E4" i="6"/>
  <c r="E27" i="1"/>
  <c r="F29" i="1"/>
  <c r="G27" i="1"/>
  <c r="H27" i="1" s="1"/>
  <c r="I27" i="1" s="1"/>
  <c r="J27" i="1" s="1"/>
  <c r="K27" i="1" s="1"/>
  <c r="L27" i="1" s="1"/>
  <c r="F17" i="1"/>
  <c r="C17" i="1"/>
  <c r="B6" i="1"/>
  <c r="G11" i="1"/>
  <c r="F11" i="1"/>
  <c r="D6" i="1"/>
  <c r="G6" i="1"/>
  <c r="E11" i="1"/>
  <c r="E17" i="1"/>
  <c r="D17" i="1"/>
  <c r="F6" i="1"/>
  <c r="E6" i="1"/>
  <c r="G17" i="1"/>
  <c r="C6" i="1"/>
  <c r="D11" i="1"/>
  <c r="C21" i="1"/>
  <c r="D13" i="1"/>
  <c r="C13" i="1"/>
  <c r="B18" i="7"/>
  <c r="C18" i="7"/>
  <c r="D18" i="7"/>
  <c r="E18" i="7"/>
  <c r="F18" i="7"/>
  <c r="D30" i="1" l="1"/>
  <c r="E30" i="1"/>
  <c r="F30" i="1"/>
  <c r="B30" i="1"/>
  <c r="C30" i="1"/>
  <c r="G30" i="1"/>
  <c r="I3" i="2"/>
  <c r="J3" i="2" l="1"/>
  <c r="B34" i="12"/>
  <c r="B35" i="12"/>
  <c r="L3" i="2" l="1"/>
  <c r="K3" i="2"/>
  <c r="B17" i="12"/>
  <c r="B12" i="2" l="1"/>
  <c r="C12" i="2"/>
  <c r="D12" i="2"/>
  <c r="E12" i="2"/>
  <c r="F12" i="2"/>
  <c r="G12" i="2"/>
  <c r="B36" i="12"/>
  <c r="D43" i="12"/>
  <c r="E43" i="12" s="1"/>
  <c r="F43" i="12" s="1"/>
  <c r="G43" i="12" s="1"/>
  <c r="H43" i="12" s="1"/>
  <c r="I43" i="12" s="1"/>
  <c r="J43" i="12" s="1"/>
  <c r="C32" i="7"/>
  <c r="D32" i="7"/>
  <c r="E32" i="7"/>
  <c r="F32" i="7"/>
  <c r="B32" i="7"/>
  <c r="C23" i="7"/>
  <c r="D23" i="7"/>
  <c r="E23" i="7"/>
  <c r="F23" i="7"/>
  <c r="B23" i="7"/>
  <c r="C20" i="7"/>
  <c r="D20" i="7"/>
  <c r="E20" i="7"/>
  <c r="F20" i="7"/>
  <c r="B20" i="7"/>
  <c r="C19" i="7"/>
  <c r="D19" i="7"/>
  <c r="E19" i="7"/>
  <c r="F19" i="7"/>
  <c r="B19" i="7"/>
  <c r="D15" i="9"/>
  <c r="E15" i="9"/>
  <c r="F15" i="9"/>
  <c r="G15" i="9"/>
  <c r="C15" i="9"/>
  <c r="D6" i="9"/>
  <c r="D7" i="9" s="1"/>
  <c r="E6" i="9"/>
  <c r="E7" i="9" s="1"/>
  <c r="F6" i="9"/>
  <c r="F7" i="9" s="1"/>
  <c r="G6" i="9"/>
  <c r="G7" i="9" s="1"/>
  <c r="C6" i="9"/>
  <c r="C7" i="9" s="1"/>
  <c r="H26" i="1"/>
  <c r="I26" i="1" s="1"/>
  <c r="J26" i="1" s="1"/>
  <c r="K26" i="1" s="1"/>
  <c r="L26" i="1" s="1"/>
  <c r="F29" i="7"/>
  <c r="G26" i="7" s="1"/>
  <c r="C21" i="2"/>
  <c r="D21" i="2"/>
  <c r="E21" i="2"/>
  <c r="F21" i="2"/>
  <c r="G21" i="2"/>
  <c r="H21" i="2" s="1"/>
  <c r="I21" i="2" s="1"/>
  <c r="J21" i="2" s="1"/>
  <c r="K21" i="2" s="1"/>
  <c r="L21" i="2" s="1"/>
  <c r="B21" i="2"/>
  <c r="C25" i="7"/>
  <c r="D25" i="7"/>
  <c r="E25" i="7"/>
  <c r="F25" i="7"/>
  <c r="B25" i="7"/>
  <c r="C17" i="7"/>
  <c r="D17" i="7"/>
  <c r="E17" i="7"/>
  <c r="F17" i="7"/>
  <c r="B17" i="7"/>
  <c r="C15" i="7"/>
  <c r="D15" i="7"/>
  <c r="E15" i="7"/>
  <c r="F15" i="7"/>
  <c r="B15" i="7"/>
  <c r="C11" i="7"/>
  <c r="D11" i="7"/>
  <c r="E11" i="7"/>
  <c r="F11" i="7"/>
  <c r="B11" i="7"/>
  <c r="C10" i="7"/>
  <c r="D10" i="7"/>
  <c r="E10" i="7"/>
  <c r="F10" i="7"/>
  <c r="B10" i="7"/>
  <c r="C5" i="7"/>
  <c r="D5" i="7"/>
  <c r="E5" i="7"/>
  <c r="F5" i="7"/>
  <c r="C4" i="7"/>
  <c r="D4" i="7"/>
  <c r="E4" i="7"/>
  <c r="F4" i="7"/>
  <c r="B4" i="7"/>
  <c r="B5" i="7"/>
  <c r="C3" i="7"/>
  <c r="D3" i="7"/>
  <c r="E3" i="7"/>
  <c r="F3" i="7"/>
  <c r="B3" i="7"/>
  <c r="B15" i="12" l="1"/>
  <c r="B19" i="12"/>
  <c r="B14" i="12"/>
  <c r="F16" i="9"/>
  <c r="G16" i="9"/>
  <c r="C16" i="9"/>
  <c r="D16" i="9"/>
  <c r="H12" i="2"/>
  <c r="I12" i="2" s="1"/>
  <c r="J12" i="2" s="1"/>
  <c r="E16" i="9"/>
  <c r="C43" i="12"/>
  <c r="B43" i="12" s="1"/>
  <c r="H5" i="1" l="1"/>
  <c r="H20" i="1"/>
  <c r="H16" i="1"/>
  <c r="H15" i="1"/>
  <c r="B18" i="12"/>
  <c r="K12" i="2"/>
  <c r="L12" i="2" s="1"/>
  <c r="I5" i="1" l="1"/>
  <c r="I15" i="1"/>
  <c r="I20" i="1"/>
  <c r="I16" i="1"/>
  <c r="J16" i="1" l="1"/>
  <c r="J20" i="1"/>
  <c r="J15" i="1"/>
  <c r="J5" i="1"/>
  <c r="I14" i="2"/>
  <c r="I9" i="2"/>
  <c r="C9" i="11" s="1"/>
  <c r="I7" i="2"/>
  <c r="C7" i="11" s="1"/>
  <c r="I8" i="2"/>
  <c r="C8" i="11" s="1"/>
  <c r="H8" i="2"/>
  <c r="B8" i="11" s="1"/>
  <c r="H14" i="2"/>
  <c r="H9" i="2"/>
  <c r="B9" i="11" s="1"/>
  <c r="H7" i="2"/>
  <c r="B7" i="11" s="1"/>
  <c r="H16" i="2"/>
  <c r="B10" i="11" s="1"/>
  <c r="H9" i="1"/>
  <c r="H5" i="9" s="1"/>
  <c r="H21" i="1"/>
  <c r="H6" i="1"/>
  <c r="H6" i="2"/>
  <c r="B6" i="11" s="1"/>
  <c r="H10" i="1"/>
  <c r="H14" i="9" s="1"/>
  <c r="H15" i="9" s="1"/>
  <c r="H13" i="9" s="1"/>
  <c r="H11" i="1"/>
  <c r="H4" i="2"/>
  <c r="B12" i="11" s="1"/>
  <c r="H5" i="2"/>
  <c r="H4" i="1"/>
  <c r="B11" i="11" s="1"/>
  <c r="I9" i="1"/>
  <c r="I5" i="9" s="1"/>
  <c r="I6" i="2"/>
  <c r="C6" i="11" s="1"/>
  <c r="I16" i="2"/>
  <c r="C10" i="11" s="1"/>
  <c r="I4" i="1"/>
  <c r="I6" i="1"/>
  <c r="I11" i="1"/>
  <c r="I10" i="1"/>
  <c r="I14" i="9" s="1"/>
  <c r="I5" i="2"/>
  <c r="I4" i="2"/>
  <c r="I21" i="1"/>
  <c r="L5" i="1" l="1"/>
  <c r="K5" i="1"/>
  <c r="L20" i="1"/>
  <c r="K20" i="1"/>
  <c r="L15" i="1"/>
  <c r="K15" i="1"/>
  <c r="L16" i="1"/>
  <c r="K16" i="1"/>
  <c r="I15" i="9"/>
  <c r="I13" i="9" s="1"/>
  <c r="I12" i="9" s="1"/>
  <c r="C12" i="11"/>
  <c r="C11" i="11"/>
  <c r="H12" i="9"/>
  <c r="H17" i="9" s="1"/>
  <c r="L8" i="2" l="1"/>
  <c r="F8" i="11" s="1"/>
  <c r="L14" i="2"/>
  <c r="L9" i="2"/>
  <c r="F9" i="11" s="1"/>
  <c r="L7" i="2"/>
  <c r="F7" i="11" s="1"/>
  <c r="J8" i="2"/>
  <c r="D8" i="11" s="1"/>
  <c r="J14" i="2"/>
  <c r="J9" i="2"/>
  <c r="D9" i="11" s="1"/>
  <c r="J7" i="2"/>
  <c r="D7" i="11" s="1"/>
  <c r="K8" i="2"/>
  <c r="E8" i="11" s="1"/>
  <c r="K14" i="2"/>
  <c r="K9" i="2"/>
  <c r="E9" i="11" s="1"/>
  <c r="K7" i="2"/>
  <c r="E7" i="11" s="1"/>
  <c r="I17" i="9"/>
  <c r="K5" i="2"/>
  <c r="K4" i="2"/>
  <c r="K4" i="1"/>
  <c r="J6" i="2"/>
  <c r="D6" i="11" s="1"/>
  <c r="J10" i="1"/>
  <c r="J14" i="9" s="1"/>
  <c r="J15" i="9" s="1"/>
  <c r="J13" i="9" s="1"/>
  <c r="J5" i="2"/>
  <c r="J4" i="2"/>
  <c r="D12" i="11" s="1"/>
  <c r="J9" i="1"/>
  <c r="J5" i="9" s="1"/>
  <c r="J11" i="1"/>
  <c r="J21" i="1"/>
  <c r="J6" i="1"/>
  <c r="J16" i="2"/>
  <c r="D10" i="11" s="1"/>
  <c r="J4" i="1"/>
  <c r="D11" i="11" s="1"/>
  <c r="L9" i="1"/>
  <c r="L5" i="9" s="1"/>
  <c r="L5" i="2"/>
  <c r="L16" i="2"/>
  <c r="F10" i="11" s="1"/>
  <c r="L10" i="1"/>
  <c r="L14" i="9" s="1"/>
  <c r="L4" i="1"/>
  <c r="L11" i="1"/>
  <c r="L4" i="2"/>
  <c r="L6" i="1"/>
  <c r="L6" i="2"/>
  <c r="F6" i="11" s="1"/>
  <c r="L21" i="1"/>
  <c r="K6" i="2"/>
  <c r="E6" i="11" s="1"/>
  <c r="K9" i="1"/>
  <c r="K5" i="9" s="1"/>
  <c r="K16" i="2"/>
  <c r="E10" i="11" s="1"/>
  <c r="K6" i="1"/>
  <c r="K11" i="1"/>
  <c r="K21" i="1"/>
  <c r="K10" i="1"/>
  <c r="K14" i="9" s="1"/>
  <c r="F11" i="11" l="1"/>
  <c r="E12" i="11"/>
  <c r="F12" i="11"/>
  <c r="L15" i="9"/>
  <c r="J12" i="9"/>
  <c r="J17" i="9" s="1"/>
  <c r="E11" i="11"/>
  <c r="K15" i="9"/>
  <c r="K13" i="9" s="1"/>
  <c r="K12" i="9" l="1"/>
  <c r="K17" i="9" s="1"/>
  <c r="L13" i="9"/>
  <c r="L12" i="9" l="1"/>
  <c r="L17" i="9" s="1"/>
  <c r="B13" i="11" l="1"/>
  <c r="C13" i="11" l="1"/>
  <c r="D13" i="11"/>
  <c r="E13" i="11" l="1"/>
  <c r="F13" i="11"/>
  <c r="A49" i="12" l="1"/>
  <c r="A50" i="12" l="1"/>
  <c r="A51" i="12" s="1"/>
  <c r="A52" i="12" s="1"/>
  <c r="A53" i="12" s="1"/>
  <c r="A54" i="12" s="1"/>
  <c r="A48" i="12"/>
  <c r="A47" i="12" s="1"/>
  <c r="A46" i="12" s="1"/>
  <c r="A45" i="12" s="1"/>
  <c r="A44" i="12" l="1"/>
  <c r="H12" i="1" l="1"/>
  <c r="I12" i="1"/>
  <c r="J12" i="1"/>
  <c r="K12" i="1"/>
  <c r="L12" i="1"/>
  <c r="H17" i="1" l="1"/>
  <c r="I17" i="1"/>
  <c r="J17" i="1"/>
  <c r="K17" i="1"/>
  <c r="L17" i="1"/>
  <c r="H18" i="1" l="1"/>
  <c r="I18" i="1"/>
  <c r="J18" i="1"/>
  <c r="K18" i="1"/>
  <c r="L18" i="1"/>
  <c r="H22" i="1"/>
  <c r="H10" i="2"/>
  <c r="I22" i="1"/>
  <c r="J22" i="1"/>
  <c r="K22" i="1"/>
  <c r="L22" i="1"/>
  <c r="I10" i="2"/>
  <c r="J10" i="2"/>
  <c r="K10" i="2"/>
  <c r="L10" i="2"/>
  <c r="L23" i="1" l="1"/>
  <c r="K23" i="1"/>
  <c r="J23" i="1"/>
  <c r="I23" i="1"/>
  <c r="H23" i="1"/>
  <c r="H6" i="9"/>
  <c r="B5" i="11" s="1"/>
  <c r="H4" i="9" l="1"/>
  <c r="H3" i="9" l="1"/>
  <c r="H8" i="9" s="1"/>
  <c r="B14" i="11" s="1"/>
  <c r="I6" i="9"/>
  <c r="I4" i="9" s="1"/>
  <c r="J6" i="9"/>
  <c r="D5" i="11" s="1"/>
  <c r="K6" i="9"/>
  <c r="E5" i="11" s="1"/>
  <c r="L6" i="9"/>
  <c r="F5" i="11" s="1"/>
  <c r="C5" i="11" l="1"/>
  <c r="J4" i="9"/>
  <c r="K4" i="9" s="1"/>
  <c r="I3" i="9"/>
  <c r="I8" i="9" s="1"/>
  <c r="C14" i="11" s="1"/>
  <c r="J3" i="9" l="1"/>
  <c r="J8" i="9" s="1"/>
  <c r="D14" i="11" s="1"/>
  <c r="K3" i="9"/>
  <c r="L4" i="9"/>
  <c r="L3" i="9" s="1"/>
  <c r="K8" i="9" l="1"/>
  <c r="E14" i="11" s="1"/>
  <c r="L8" i="9"/>
  <c r="F14" i="11" s="1"/>
  <c r="I30" i="1" l="1"/>
  <c r="I13" i="1"/>
  <c r="I7" i="1"/>
  <c r="E23" i="12"/>
  <c r="E15" i="11"/>
  <c r="E3" i="11"/>
  <c r="K28" i="7"/>
  <c r="L24" i="2"/>
  <c r="I28" i="7"/>
  <c r="J24" i="2"/>
  <c r="H7" i="1"/>
  <c r="H13" i="1"/>
  <c r="H30" i="1"/>
  <c r="C4" i="11"/>
  <c r="K30" i="1"/>
  <c r="K13" i="1"/>
  <c r="K7" i="1"/>
  <c r="B4" i="11"/>
  <c r="D4" i="11"/>
  <c r="D3" i="11"/>
  <c r="D15" i="11"/>
  <c r="D23" i="12"/>
  <c r="B30" i="12"/>
  <c r="B33" i="12"/>
  <c r="B37" i="12"/>
  <c r="B39" i="12"/>
  <c r="H28" i="7"/>
  <c r="I24" i="2"/>
  <c r="J18" i="2"/>
  <c r="C23" i="12"/>
  <c r="C15" i="11"/>
  <c r="C3" i="11"/>
  <c r="J30" i="1"/>
  <c r="J13" i="1"/>
  <c r="J7" i="1"/>
  <c r="K18" i="2"/>
  <c r="G28" i="7"/>
  <c r="H24" i="2"/>
  <c r="I18" i="2"/>
  <c r="J28" i="7"/>
  <c r="K24" i="2"/>
  <c r="K15" i="2"/>
  <c r="K17" i="2"/>
  <c r="K19" i="2"/>
  <c r="K20" i="2"/>
  <c r="J27" i="7"/>
  <c r="H18" i="2"/>
  <c r="L7" i="1"/>
  <c r="L13" i="1"/>
  <c r="L30" i="1"/>
  <c r="L18" i="2"/>
  <c r="K25" i="1"/>
  <c r="K28" i="1"/>
  <c r="K29" i="1"/>
  <c r="K3" i="1"/>
  <c r="K11" i="2"/>
  <c r="K13" i="2"/>
  <c r="E4" i="11"/>
  <c r="B31" i="12"/>
  <c r="D52" i="12"/>
  <c r="F52" i="12"/>
  <c r="D53" i="12"/>
  <c r="B54" i="12"/>
  <c r="J47" i="12"/>
  <c r="E48" i="12"/>
  <c r="G48" i="12"/>
  <c r="H52" i="12"/>
  <c r="B44" i="12"/>
  <c r="C50" i="12"/>
  <c r="F51" i="12"/>
  <c r="G51" i="12"/>
  <c r="F47" i="12"/>
  <c r="I54" i="12"/>
  <c r="B48" i="12"/>
  <c r="C44" i="12"/>
  <c r="I45" i="12"/>
  <c r="C51" i="12"/>
  <c r="I49" i="12"/>
  <c r="F46" i="12"/>
  <c r="F45" i="12"/>
  <c r="E47" i="12"/>
  <c r="B51" i="12"/>
  <c r="J44" i="12"/>
  <c r="B45" i="12"/>
  <c r="I48" i="12"/>
  <c r="D51" i="12"/>
  <c r="F54" i="12"/>
  <c r="D50" i="12"/>
  <c r="I51" i="12"/>
  <c r="E52" i="12"/>
  <c r="G54" i="12"/>
  <c r="I47" i="12"/>
  <c r="I50" i="12"/>
  <c r="F50" i="12"/>
  <c r="H48" i="12"/>
  <c r="J46" i="12"/>
  <c r="J54" i="12"/>
  <c r="G46" i="12"/>
  <c r="C52" i="12"/>
  <c r="F49" i="12"/>
  <c r="C46" i="12"/>
  <c r="H46" i="12"/>
  <c r="B53" i="12"/>
  <c r="B52" i="12"/>
  <c r="C47" i="12"/>
  <c r="D44" i="12"/>
  <c r="H47" i="12"/>
  <c r="D48" i="12"/>
  <c r="J48" i="12"/>
  <c r="D47" i="12"/>
  <c r="E51" i="12"/>
  <c r="H45" i="12"/>
  <c r="C53" i="12"/>
  <c r="E54" i="12"/>
  <c r="E53" i="12"/>
  <c r="E49" i="12"/>
  <c r="J53" i="12"/>
  <c r="C48" i="12"/>
  <c r="H51" i="12"/>
  <c r="E44" i="12"/>
  <c r="H49" i="12"/>
  <c r="G44" i="12"/>
  <c r="H54" i="12"/>
  <c r="D54" i="12"/>
  <c r="B46" i="12"/>
  <c r="G47" i="12"/>
  <c r="G49" i="12"/>
  <c r="F53" i="12"/>
  <c r="F44" i="12"/>
  <c r="H44" i="12"/>
  <c r="B50" i="12"/>
  <c r="B49" i="12"/>
  <c r="J52" i="12"/>
  <c r="G50" i="12"/>
  <c r="J49" i="12"/>
  <c r="J45" i="12"/>
  <c r="G52" i="12"/>
  <c r="I46" i="12"/>
  <c r="E46" i="12"/>
  <c r="E45" i="12"/>
  <c r="I44" i="12"/>
  <c r="H53" i="12"/>
  <c r="D45" i="12"/>
  <c r="E50" i="12"/>
  <c r="D46" i="12"/>
  <c r="I52" i="12"/>
  <c r="J51" i="12"/>
  <c r="C54" i="12"/>
  <c r="B47" i="12"/>
  <c r="F48" i="12"/>
  <c r="C45" i="12"/>
  <c r="J50" i="12"/>
  <c r="I53" i="12"/>
  <c r="G45" i="12"/>
  <c r="D49" i="12"/>
  <c r="G53" i="12"/>
  <c r="C49" i="12"/>
  <c r="B3" i="11"/>
  <c r="B15" i="11"/>
  <c r="B23" i="12"/>
  <c r="H50" i="12"/>
  <c r="F3" i="11"/>
  <c r="F15" i="11"/>
  <c r="F23" i="12"/>
  <c r="B27" i="12"/>
  <c r="C27" i="12"/>
  <c r="D27" i="12"/>
  <c r="E27" i="12"/>
  <c r="F27" i="12"/>
  <c r="G27" i="12"/>
  <c r="H27" i="12"/>
  <c r="I27" i="12"/>
  <c r="J27" i="12"/>
  <c r="K27" i="12"/>
  <c r="B32" i="12"/>
  <c r="F4" i="11"/>
  <c r="J26" i="7"/>
  <c r="J29" i="7"/>
  <c r="K26" i="7"/>
  <c r="K29" i="7"/>
  <c r="L25" i="1"/>
  <c r="L28" i="1"/>
  <c r="L29" i="1"/>
  <c r="L3" i="1"/>
  <c r="L11" i="2"/>
  <c r="L13" i="2"/>
  <c r="L15" i="2"/>
  <c r="L17" i="2"/>
  <c r="L19" i="2"/>
  <c r="L20" i="2"/>
  <c r="K27" i="7"/>
  <c r="I26" i="7"/>
  <c r="I29" i="7"/>
  <c r="J25" i="1"/>
  <c r="J28" i="1"/>
  <c r="J29" i="1"/>
  <c r="J3" i="1"/>
  <c r="J11" i="2"/>
  <c r="J13" i="2"/>
  <c r="J15" i="2"/>
  <c r="J17" i="2"/>
  <c r="J19" i="2"/>
  <c r="J20" i="2"/>
  <c r="I27" i="7"/>
  <c r="H25" i="1"/>
  <c r="H28" i="1"/>
  <c r="H29" i="1"/>
  <c r="H3" i="1"/>
  <c r="H11" i="2"/>
  <c r="H13" i="2"/>
  <c r="H15" i="2"/>
  <c r="H17" i="2"/>
  <c r="H19" i="2"/>
  <c r="H20" i="2"/>
  <c r="G27" i="7"/>
  <c r="G29" i="7"/>
  <c r="H26" i="7"/>
  <c r="H29" i="7"/>
  <c r="I25" i="1"/>
  <c r="I28" i="1"/>
  <c r="I29" i="1"/>
  <c r="I3" i="1"/>
  <c r="I11" i="2"/>
  <c r="I13" i="2"/>
  <c r="I15" i="2"/>
  <c r="I17" i="2"/>
  <c r="I19" i="2"/>
  <c r="I20" i="2"/>
  <c r="H27" i="7"/>
</calcChain>
</file>

<file path=xl/sharedStrings.xml><?xml version="1.0" encoding="utf-8"?>
<sst xmlns="http://schemas.openxmlformats.org/spreadsheetml/2006/main" count="442" uniqueCount="271">
  <si>
    <t>Total current assets</t>
    <phoneticPr fontId="2" type="noConversion"/>
  </si>
  <si>
    <t>Intangible assets</t>
    <phoneticPr fontId="2" type="noConversion"/>
  </si>
  <si>
    <t>Total non-current assets</t>
    <phoneticPr fontId="2" type="noConversion"/>
  </si>
  <si>
    <t>Total assets</t>
    <phoneticPr fontId="2" type="noConversion"/>
  </si>
  <si>
    <t>Total current liabilities</t>
    <phoneticPr fontId="2" type="noConversion"/>
  </si>
  <si>
    <t>Total non-current liabilities</t>
    <phoneticPr fontId="2" type="noConversion"/>
  </si>
  <si>
    <t>Total liabilities</t>
    <phoneticPr fontId="2" type="noConversion"/>
  </si>
  <si>
    <t>Minority interests</t>
    <phoneticPr fontId="2" type="noConversion"/>
  </si>
  <si>
    <t>Total shareholders' equity</t>
    <phoneticPr fontId="2" type="noConversion"/>
  </si>
  <si>
    <t>Total liabilities and Shareholders' equity</t>
    <phoneticPr fontId="2" type="noConversion"/>
  </si>
  <si>
    <t>Cost of goods sold</t>
    <phoneticPr fontId="2" type="noConversion"/>
  </si>
  <si>
    <t>Investment income</t>
    <phoneticPr fontId="2" type="noConversion"/>
  </si>
  <si>
    <t>Operating profit</t>
    <phoneticPr fontId="2" type="noConversion"/>
  </si>
  <si>
    <t>Total profit</t>
    <phoneticPr fontId="2" type="noConversion"/>
  </si>
  <si>
    <t>Net profit</t>
    <phoneticPr fontId="2" type="noConversion"/>
  </si>
  <si>
    <t>Long-term debt</t>
    <phoneticPr fontId="2" type="noConversion"/>
  </si>
  <si>
    <t>Retained earnings</t>
    <phoneticPr fontId="2" type="noConversion"/>
  </si>
  <si>
    <t>Main operating expenses</t>
    <phoneticPr fontId="2" type="noConversion"/>
  </si>
  <si>
    <t xml:space="preserve"> </t>
    <phoneticPr fontId="2" type="noConversion"/>
  </si>
  <si>
    <t>Non-operating income/(expense)</t>
    <phoneticPr fontId="2" type="noConversion"/>
  </si>
  <si>
    <t>Total other non-current assets</t>
    <phoneticPr fontId="2" type="noConversion"/>
  </si>
  <si>
    <t xml:space="preserve"> + impairment losses</t>
    <phoneticPr fontId="2" type="noConversion"/>
  </si>
  <si>
    <t>Financial ratio assumption for forecast</t>
    <phoneticPr fontId="2" type="noConversion"/>
  </si>
  <si>
    <t xml:space="preserve">Cost of goods sold/Sales </t>
    <phoneticPr fontId="2" type="noConversion"/>
  </si>
  <si>
    <t>Main operating expenses/Sales</t>
    <phoneticPr fontId="2" type="noConversion"/>
  </si>
  <si>
    <t>Investment income/Sales</t>
    <phoneticPr fontId="2" type="noConversion"/>
  </si>
  <si>
    <t>Non-operating income/(expense)/Sales</t>
    <phoneticPr fontId="2" type="noConversion"/>
  </si>
  <si>
    <t>Income taxe expenses/Total profits</t>
    <phoneticPr fontId="2" type="noConversion"/>
  </si>
  <si>
    <t>Short debt</t>
    <phoneticPr fontId="2" type="noConversion"/>
  </si>
  <si>
    <t>Cash and equivalent</t>
    <phoneticPr fontId="2" type="noConversion"/>
  </si>
  <si>
    <t>Notes and accounts receivable</t>
    <phoneticPr fontId="2" type="noConversion"/>
  </si>
  <si>
    <t>Inventory</t>
    <phoneticPr fontId="2" type="noConversion"/>
  </si>
  <si>
    <t>Notes and account payable</t>
    <phoneticPr fontId="2" type="noConversion"/>
  </si>
  <si>
    <t>Notes and accounts receivable/Sales</t>
    <phoneticPr fontId="2" type="noConversion"/>
  </si>
  <si>
    <t>Total other non-current assets/Sales</t>
    <phoneticPr fontId="2" type="noConversion"/>
  </si>
  <si>
    <t>Net profit attributable to shareholders of the company</t>
    <phoneticPr fontId="2" type="noConversion"/>
  </si>
  <si>
    <t>Dividends to shareholders of the company</t>
    <phoneticPr fontId="2" type="noConversion"/>
  </si>
  <si>
    <t>Retained earnings-beginning balance</t>
    <phoneticPr fontId="2" type="noConversion"/>
  </si>
  <si>
    <t>Dividends payout ratio</t>
    <phoneticPr fontId="2" type="noConversion"/>
  </si>
  <si>
    <t>Accumulated depreciation</t>
    <phoneticPr fontId="2" type="noConversion"/>
  </si>
  <si>
    <t>Depreciation for the period</t>
    <phoneticPr fontId="2" type="noConversion"/>
  </si>
  <si>
    <t>Property, Plant and Equipment</t>
    <phoneticPr fontId="2" type="noConversion"/>
  </si>
  <si>
    <t>Gross value</t>
    <phoneticPr fontId="2" type="noConversion"/>
  </si>
  <si>
    <t>Net value</t>
    <phoneticPr fontId="2" type="noConversion"/>
  </si>
  <si>
    <t>Depreciation rate</t>
    <phoneticPr fontId="2" type="noConversion"/>
  </si>
  <si>
    <t>Property, Plant and Equipment/Sales</t>
    <phoneticPr fontId="2" type="noConversion"/>
  </si>
  <si>
    <t>Intangible assets/Sales</t>
    <phoneticPr fontId="2" type="noConversion"/>
  </si>
  <si>
    <t xml:space="preserve">Intangible assets  </t>
    <phoneticPr fontId="2" type="noConversion"/>
  </si>
  <si>
    <t xml:space="preserve">Property, Plant and Equipment  </t>
    <phoneticPr fontId="2" type="noConversion"/>
  </si>
  <si>
    <t>Capex_PPE</t>
    <phoneticPr fontId="2" type="noConversion"/>
  </si>
  <si>
    <t>Capex_Intangible assets</t>
    <phoneticPr fontId="2" type="noConversion"/>
  </si>
  <si>
    <t xml:space="preserve"> + Interest expense</t>
    <phoneticPr fontId="2" type="noConversion"/>
  </si>
  <si>
    <t xml:space="preserve"> = Net Financial expense/(income)</t>
    <phoneticPr fontId="2" type="noConversion"/>
  </si>
  <si>
    <t xml:space="preserve"> + Others (Net financial expense)</t>
    <phoneticPr fontId="2" type="noConversion"/>
  </si>
  <si>
    <t>Interest expense/(Short-debt+long-term debt)</t>
    <phoneticPr fontId="2" type="noConversion"/>
  </si>
  <si>
    <t>Interest revenue/Cash and equivalent</t>
    <phoneticPr fontId="2" type="noConversion"/>
  </si>
  <si>
    <t>Net profit</t>
    <phoneticPr fontId="6" type="noConversion"/>
  </si>
  <si>
    <t xml:space="preserve"> </t>
    <phoneticPr fontId="5" type="noConversion"/>
  </si>
  <si>
    <t>WACC</t>
    <phoneticPr fontId="5" type="noConversion"/>
  </si>
  <si>
    <t>FCFF</t>
    <phoneticPr fontId="5" type="noConversion"/>
  </si>
  <si>
    <t>WACC</t>
  </si>
  <si>
    <t>Total other current assets</t>
    <phoneticPr fontId="2" type="noConversion"/>
  </si>
  <si>
    <t>Total other non-current liabilities</t>
    <phoneticPr fontId="2" type="noConversion"/>
  </si>
  <si>
    <t xml:space="preserve"> - Investment income</t>
    <phoneticPr fontId="2" type="noConversion"/>
  </si>
  <si>
    <t>Gains/(Loss) on disposal of assets</t>
    <phoneticPr fontId="2" type="noConversion"/>
  </si>
  <si>
    <t xml:space="preserve"> - Gains/(Loss) on disposal of assets</t>
    <phoneticPr fontId="2" type="noConversion"/>
  </si>
  <si>
    <t xml:space="preserve"> +Net Financial expense*(1-tax rate))</t>
    <phoneticPr fontId="6" type="noConversion"/>
  </si>
  <si>
    <t xml:space="preserve"> - Changes in Notes and accounts receivable</t>
    <phoneticPr fontId="2" type="noConversion"/>
  </si>
  <si>
    <t xml:space="preserve"> - Changes in Inventory</t>
    <phoneticPr fontId="2" type="noConversion"/>
  </si>
  <si>
    <t xml:space="preserve"> + Notes and accounts payable</t>
    <phoneticPr fontId="2" type="noConversion"/>
  </si>
  <si>
    <t xml:space="preserve"> + Depreciation and Amortization</t>
    <phoneticPr fontId="2" type="noConversion"/>
  </si>
  <si>
    <t xml:space="preserve"> - Capital Expenditure</t>
    <phoneticPr fontId="2" type="noConversion"/>
  </si>
  <si>
    <t>Discounted Cash Flow Model (DCF Model)</t>
    <phoneticPr fontId="5" type="noConversion"/>
  </si>
  <si>
    <t xml:space="preserve"> </t>
    <phoneticPr fontId="2" type="noConversion"/>
  </si>
  <si>
    <t>Latest reporting date</t>
    <phoneticPr fontId="2" type="noConversion"/>
  </si>
  <si>
    <t>Share price at Latest reporting date</t>
    <phoneticPr fontId="5" type="noConversion"/>
  </si>
  <si>
    <t>Number of years in Second stage</t>
    <phoneticPr fontId="5" type="noConversion"/>
  </si>
  <si>
    <t>Growth rate in Second stage</t>
    <phoneticPr fontId="5" type="noConversion"/>
  </si>
  <si>
    <t>Long-term growth rate</t>
    <phoneticPr fontId="5" type="noConversion"/>
  </si>
  <si>
    <t>First stage</t>
    <phoneticPr fontId="5" type="noConversion"/>
  </si>
  <si>
    <t>Second stage</t>
    <phoneticPr fontId="5" type="noConversion"/>
  </si>
  <si>
    <t>Discounted FCFF</t>
    <phoneticPr fontId="5" type="noConversion"/>
  </si>
  <si>
    <t>Third stage (Termination value)</t>
    <phoneticPr fontId="5" type="noConversion"/>
  </si>
  <si>
    <t>Enterprise Value</t>
    <phoneticPr fontId="5" type="noConversion"/>
  </si>
  <si>
    <t>+ Cash at latest reporting date</t>
    <phoneticPr fontId="2" type="noConversion"/>
  </si>
  <si>
    <t>Value per share</t>
    <phoneticPr fontId="5" type="noConversion"/>
  </si>
  <si>
    <t>Sensitivity test</t>
    <phoneticPr fontId="5" type="noConversion"/>
  </si>
  <si>
    <t>Long-term growth rate for third stage</t>
    <phoneticPr fontId="5" type="noConversion"/>
  </si>
  <si>
    <t>β</t>
  </si>
  <si>
    <t xml:space="preserve"> </t>
  </si>
  <si>
    <t>Total shares at Latest reporting date</t>
  </si>
  <si>
    <t>Total shares at Latest reporting date*Share price at Latest reporting date</t>
  </si>
  <si>
    <t>(Short-term debt+Long-term debt) at Latest reporting date</t>
  </si>
  <si>
    <t>Rf</t>
  </si>
  <si>
    <r>
      <rPr>
        <sz val="9"/>
        <rFont val="宋体"/>
        <family val="3"/>
        <charset val="134"/>
      </rPr>
      <t>－(</t>
    </r>
    <r>
      <rPr>
        <sz val="9"/>
        <rFont val="Times New Roman"/>
        <family val="3"/>
      </rPr>
      <t>Short-term debt + Long-term debt)</t>
    </r>
  </si>
  <si>
    <t>E(Rm)</t>
  </si>
  <si>
    <t>Re</t>
  </si>
  <si>
    <t>Rd</t>
  </si>
  <si>
    <t xml:space="preserve">E </t>
  </si>
  <si>
    <t>D</t>
  </si>
  <si>
    <t>Tax rate</t>
  </si>
  <si>
    <r>
      <rPr>
        <sz val="9"/>
        <rFont val="宋体"/>
        <family val="3"/>
        <charset val="134"/>
      </rPr>
      <t>－</t>
    </r>
    <r>
      <rPr>
        <sz val="9"/>
        <rFont val="Times New Roman"/>
        <family val="3"/>
      </rPr>
      <t>Minority interests at latest reporting date</t>
    </r>
  </si>
  <si>
    <t>=Value to shareholders of the company</t>
  </si>
  <si>
    <t>Net Profit</t>
  </si>
  <si>
    <t xml:space="preserve">    Total current assets</t>
  </si>
  <si>
    <t xml:space="preserve">    Total Non-current Assets</t>
  </si>
  <si>
    <t>Total Assets</t>
  </si>
  <si>
    <t xml:space="preserve">    Total Current Liabilities</t>
  </si>
  <si>
    <t xml:space="preserve">    Total Non-current Liabilities</t>
  </si>
  <si>
    <t xml:space="preserve">    Total Liabilities</t>
  </si>
  <si>
    <t xml:space="preserve">    Total Shareholders' Equity</t>
  </si>
  <si>
    <t>Long-term Loans</t>
    <phoneticPr fontId="2" type="noConversion"/>
  </si>
  <si>
    <t>Others</t>
    <phoneticPr fontId="2" type="noConversion"/>
  </si>
  <si>
    <t xml:space="preserve">    Minority Shareholders’ Interest</t>
    <phoneticPr fontId="2" type="noConversion"/>
  </si>
  <si>
    <t>Total Revenue</t>
    <phoneticPr fontId="2" type="noConversion"/>
  </si>
  <si>
    <t>All others</t>
    <phoneticPr fontId="2" type="noConversion"/>
  </si>
  <si>
    <t xml:space="preserve"> - Interest income</t>
    <phoneticPr fontId="2" type="noConversion"/>
  </si>
  <si>
    <t>Impairment losses</t>
    <phoneticPr fontId="2" type="noConversion"/>
  </si>
  <si>
    <t>Asset Impairment Loss</t>
    <phoneticPr fontId="2" type="noConversion"/>
  </si>
  <si>
    <t>Credit impairment loss</t>
    <phoneticPr fontId="2" type="noConversion"/>
  </si>
  <si>
    <t>Gains/(Loss) from fair value changes</t>
    <phoneticPr fontId="2" type="noConversion"/>
  </si>
  <si>
    <t xml:space="preserve"> - Gains/(Loss) from fair value changes</t>
    <phoneticPr fontId="2" type="noConversion"/>
  </si>
  <si>
    <t>YOY</t>
    <phoneticPr fontId="2" type="noConversion"/>
  </si>
  <si>
    <t xml:space="preserve"> 5-year Chinese government bonds yield rate</t>
    <phoneticPr fontId="5" type="noConversion"/>
  </si>
  <si>
    <t>CSI300 10-years compounded growth rate</t>
    <phoneticPr fontId="5" type="noConversion"/>
  </si>
  <si>
    <t>Trading Financial Assets</t>
    <phoneticPr fontId="2" type="noConversion"/>
  </si>
  <si>
    <t>Net Short-term Investments</t>
    <phoneticPr fontId="2" type="noConversion"/>
  </si>
  <si>
    <t>Net Notes Receivable</t>
    <phoneticPr fontId="2" type="noConversion"/>
  </si>
  <si>
    <t>Net Accounts Receivable</t>
    <phoneticPr fontId="2" type="noConversion"/>
  </si>
  <si>
    <t>a001101000</t>
    <phoneticPr fontId="2" type="noConversion"/>
  </si>
  <si>
    <t>Cash and cash equivalents</t>
    <phoneticPr fontId="2" type="noConversion"/>
  </si>
  <si>
    <t>a001107000</t>
    <phoneticPr fontId="2" type="noConversion"/>
  </si>
  <si>
    <t>a001109000</t>
    <phoneticPr fontId="2" type="noConversion"/>
  </si>
  <si>
    <t>a001110000</t>
    <phoneticPr fontId="2" type="noConversion"/>
  </si>
  <si>
    <t>a001111000</t>
    <phoneticPr fontId="2" type="noConversion"/>
  </si>
  <si>
    <t>Net Inventories</t>
    <phoneticPr fontId="2" type="noConversion"/>
  </si>
  <si>
    <t>a001123000</t>
    <phoneticPr fontId="2" type="noConversion"/>
  </si>
  <si>
    <t>a001100000</t>
    <phoneticPr fontId="2" type="noConversion"/>
  </si>
  <si>
    <t>Net Fixed Assets</t>
    <phoneticPr fontId="2" type="noConversion"/>
  </si>
  <si>
    <t>a001212000</t>
    <phoneticPr fontId="2" type="noConversion"/>
  </si>
  <si>
    <t>a001218000</t>
    <phoneticPr fontId="2" type="noConversion"/>
  </si>
  <si>
    <t>Net Intangible Assets</t>
    <phoneticPr fontId="2" type="noConversion"/>
  </si>
  <si>
    <t>a001200000</t>
    <phoneticPr fontId="2" type="noConversion"/>
  </si>
  <si>
    <t>a001000000</t>
    <phoneticPr fontId="2" type="noConversion"/>
  </si>
  <si>
    <t>Short-Term Borrowings</t>
    <phoneticPr fontId="2" type="noConversion"/>
  </si>
  <si>
    <t>a002101000</t>
    <phoneticPr fontId="2" type="noConversion"/>
  </si>
  <si>
    <t>Notes Payable</t>
    <phoneticPr fontId="2" type="noConversion"/>
  </si>
  <si>
    <t>a002107000</t>
    <phoneticPr fontId="2" type="noConversion"/>
  </si>
  <si>
    <t>Accounts Payable</t>
    <phoneticPr fontId="2" type="noConversion"/>
  </si>
  <si>
    <t>a002108000</t>
    <phoneticPr fontId="2" type="noConversion"/>
  </si>
  <si>
    <t>a002100000</t>
    <phoneticPr fontId="2" type="noConversion"/>
  </si>
  <si>
    <t>a002201000</t>
    <phoneticPr fontId="2" type="noConversion"/>
  </si>
  <si>
    <t>a002200000</t>
    <phoneticPr fontId="2" type="noConversion"/>
  </si>
  <si>
    <t>a002000000</t>
    <phoneticPr fontId="2" type="noConversion"/>
  </si>
  <si>
    <t>Retained Earnings</t>
    <phoneticPr fontId="2" type="noConversion"/>
  </si>
  <si>
    <t>a003105000</t>
    <phoneticPr fontId="2" type="noConversion"/>
  </si>
  <si>
    <t>a003200000</t>
    <phoneticPr fontId="2" type="noConversion"/>
  </si>
  <si>
    <t>a003000000</t>
    <phoneticPr fontId="2" type="noConversion"/>
  </si>
  <si>
    <t>Operating Revenue</t>
    <phoneticPr fontId="2" type="noConversion"/>
  </si>
  <si>
    <t>b001101000</t>
    <phoneticPr fontId="2" type="noConversion"/>
  </si>
  <si>
    <t>Operating Expenses</t>
    <phoneticPr fontId="2" type="noConversion"/>
  </si>
  <si>
    <t>b001201000</t>
    <phoneticPr fontId="2" type="noConversion"/>
  </si>
  <si>
    <t>Tax And Additional Fees Of Operations</t>
    <phoneticPr fontId="2" type="noConversion"/>
  </si>
  <si>
    <t>Selling Expenses</t>
    <phoneticPr fontId="2" type="noConversion"/>
  </si>
  <si>
    <t>b001209000</t>
    <phoneticPr fontId="2" type="noConversion"/>
  </si>
  <si>
    <t>b001207000</t>
    <phoneticPr fontId="2" type="noConversion"/>
  </si>
  <si>
    <t>General And Administrative Expenses</t>
    <phoneticPr fontId="2" type="noConversion"/>
  </si>
  <si>
    <t>b001210000</t>
    <phoneticPr fontId="2" type="noConversion"/>
  </si>
  <si>
    <t>R&amp;D Expenses</t>
    <phoneticPr fontId="2" type="noConversion"/>
  </si>
  <si>
    <t>b001216000</t>
    <phoneticPr fontId="2" type="noConversion"/>
  </si>
  <si>
    <t xml:space="preserve">        Including: Interest Expenses</t>
    <phoneticPr fontId="2" type="noConversion"/>
  </si>
  <si>
    <t xml:space="preserve">        Including: Interest Income</t>
    <phoneticPr fontId="2" type="noConversion"/>
  </si>
  <si>
    <t>Finance Expenses</t>
    <phoneticPr fontId="2" type="noConversion"/>
  </si>
  <si>
    <t>b001211000</t>
    <phoneticPr fontId="2" type="noConversion"/>
  </si>
  <si>
    <t>b001211101</t>
    <phoneticPr fontId="2" type="noConversion"/>
  </si>
  <si>
    <t>b001211203</t>
    <phoneticPr fontId="2" type="noConversion"/>
  </si>
  <si>
    <t>Investment Gains</t>
    <phoneticPr fontId="2" type="noConversion"/>
  </si>
  <si>
    <t>b001302000</t>
    <phoneticPr fontId="2" type="noConversion"/>
  </si>
  <si>
    <t>Gains/Losses From Fair Value Change</t>
    <phoneticPr fontId="2" type="noConversion"/>
  </si>
  <si>
    <t>b001301000</t>
    <phoneticPr fontId="2" type="noConversion"/>
  </si>
  <si>
    <t>b001212000</t>
    <phoneticPr fontId="2" type="noConversion"/>
  </si>
  <si>
    <t>b001307000</t>
    <phoneticPr fontId="2" type="noConversion"/>
  </si>
  <si>
    <t>Income from Assets Disposal</t>
    <phoneticPr fontId="2" type="noConversion"/>
  </si>
  <si>
    <t>b001308000</t>
    <phoneticPr fontId="2" type="noConversion"/>
  </si>
  <si>
    <t>Operating Profit</t>
    <phoneticPr fontId="2" type="noConversion"/>
  </si>
  <si>
    <t>b001300000</t>
    <phoneticPr fontId="2" type="noConversion"/>
  </si>
  <si>
    <t>Non-Operating Income</t>
    <phoneticPr fontId="2" type="noConversion"/>
  </si>
  <si>
    <t>Non-Operating Expenses</t>
    <phoneticPr fontId="2" type="noConversion"/>
  </si>
  <si>
    <t>b001400000</t>
    <phoneticPr fontId="2" type="noConversion"/>
  </si>
  <si>
    <t>b001500000</t>
    <phoneticPr fontId="2" type="noConversion"/>
  </si>
  <si>
    <t>Total Profit</t>
    <phoneticPr fontId="2" type="noConversion"/>
  </si>
  <si>
    <t>Income Tax Expenses</t>
    <phoneticPr fontId="2" type="noConversion"/>
  </si>
  <si>
    <t>b001000000</t>
    <phoneticPr fontId="2" type="noConversion"/>
  </si>
  <si>
    <t>b002100000</t>
    <phoneticPr fontId="2" type="noConversion"/>
  </si>
  <si>
    <t>b002000000</t>
    <phoneticPr fontId="2" type="noConversion"/>
  </si>
  <si>
    <t>Net Profit Attributable To Owners Of The Parent Company</t>
    <phoneticPr fontId="2" type="noConversion"/>
  </si>
  <si>
    <t>Net Profit Attributable To Owners Of The Parent Company/Net profit</t>
    <phoneticPr fontId="2" type="noConversion"/>
  </si>
  <si>
    <t>b002000101</t>
    <phoneticPr fontId="2" type="noConversion"/>
  </si>
  <si>
    <t xml:space="preserve"> - Non-operating income/(expense)</t>
    <phoneticPr fontId="2" type="noConversion"/>
  </si>
  <si>
    <t>Impairment losses/Sales</t>
    <phoneticPr fontId="2" type="noConversion"/>
  </si>
  <si>
    <t>Net Income from Fair Value Changes/Sales</t>
    <phoneticPr fontId="2" type="noConversion"/>
  </si>
  <si>
    <t>Gains/(Loss) on disposal of assets/Sales</t>
    <phoneticPr fontId="2" type="noConversion"/>
  </si>
  <si>
    <t>All others/Sales</t>
    <phoneticPr fontId="2" type="noConversion"/>
  </si>
  <si>
    <t>Accumulated amortization</t>
    <phoneticPr fontId="2" type="noConversion"/>
  </si>
  <si>
    <t>Amortization for the period</t>
    <phoneticPr fontId="2" type="noConversion"/>
  </si>
  <si>
    <t>Amortization rate</t>
    <phoneticPr fontId="2" type="noConversion"/>
  </si>
  <si>
    <t>check</t>
    <phoneticPr fontId="2" type="noConversion"/>
  </si>
  <si>
    <t>N</t>
    <phoneticPr fontId="2" type="noConversion"/>
  </si>
  <si>
    <t>N-1</t>
    <phoneticPr fontId="2" type="noConversion"/>
  </si>
  <si>
    <t>N-2</t>
    <phoneticPr fontId="2" type="noConversion"/>
  </si>
  <si>
    <t>N-3</t>
    <phoneticPr fontId="2" type="noConversion"/>
  </si>
  <si>
    <t>N-4</t>
    <phoneticPr fontId="2" type="noConversion"/>
  </si>
  <si>
    <t>N-5</t>
    <phoneticPr fontId="2" type="noConversion"/>
  </si>
  <si>
    <t>N+1E</t>
    <phoneticPr fontId="2" type="noConversion"/>
  </si>
  <si>
    <t>N+2E</t>
    <phoneticPr fontId="2" type="noConversion"/>
  </si>
  <si>
    <t>N+3E</t>
    <phoneticPr fontId="2" type="noConversion"/>
  </si>
  <si>
    <t>N+4E</t>
    <phoneticPr fontId="2" type="noConversion"/>
  </si>
  <si>
    <t>N+5E</t>
    <phoneticPr fontId="2" type="noConversion"/>
  </si>
  <si>
    <t>N+6E</t>
    <phoneticPr fontId="2" type="noConversion"/>
  </si>
  <si>
    <t>N+7E</t>
    <phoneticPr fontId="2" type="noConversion"/>
  </si>
  <si>
    <t>N+8E</t>
    <phoneticPr fontId="2" type="noConversion"/>
  </si>
  <si>
    <t>N+9E</t>
    <phoneticPr fontId="2" type="noConversion"/>
  </si>
  <si>
    <t>N+10E</t>
    <phoneticPr fontId="2" type="noConversion"/>
  </si>
  <si>
    <t>N+11E</t>
  </si>
  <si>
    <t>N+12E</t>
  </si>
  <si>
    <t>N+13E</t>
  </si>
  <si>
    <t>N+14E</t>
  </si>
  <si>
    <t>N+15E</t>
  </si>
  <si>
    <t>Balance Sheet</t>
    <phoneticPr fontId="2" type="noConversion"/>
  </si>
  <si>
    <t>Income Statement</t>
    <phoneticPr fontId="2" type="noConversion"/>
  </si>
  <si>
    <t>To simplify, assume valuation date is latest reporting date</t>
    <phoneticPr fontId="2" type="noConversion"/>
  </si>
  <si>
    <t>Total shares</t>
    <phoneticPr fontId="5" type="noConversion"/>
  </si>
  <si>
    <t>Total other current liabilities</t>
    <phoneticPr fontId="2" type="noConversion"/>
  </si>
  <si>
    <t>Inventory/Sales</t>
    <phoneticPr fontId="2" type="noConversion"/>
  </si>
  <si>
    <t>Short debt/Sales</t>
    <phoneticPr fontId="2" type="noConversion"/>
  </si>
  <si>
    <t>Long-term debt/Sales</t>
    <phoneticPr fontId="2" type="noConversion"/>
  </si>
  <si>
    <t>Notes and account payable/Sales</t>
    <phoneticPr fontId="2" type="noConversion"/>
  </si>
  <si>
    <t>Total Other current liabilities/Sales</t>
    <phoneticPr fontId="2" type="noConversion"/>
  </si>
  <si>
    <t>Total Other non-current liabilities/Sales</t>
    <phoneticPr fontId="2" type="noConversion"/>
  </si>
  <si>
    <t>Total Other current assets/Sales</t>
    <phoneticPr fontId="2" type="noConversion"/>
  </si>
  <si>
    <t>year</t>
  </si>
  <si>
    <t>month</t>
  </si>
  <si>
    <t>N-5</t>
  </si>
  <si>
    <t>N-4</t>
  </si>
  <si>
    <t>N-3</t>
  </si>
  <si>
    <t>N-2</t>
  </si>
  <si>
    <t>N-1</t>
  </si>
  <si>
    <t>N</t>
  </si>
  <si>
    <t>CSI300</t>
    <phoneticPr fontId="2" type="noConversion"/>
  </si>
  <si>
    <t>Beta</t>
    <phoneticPr fontId="2" type="noConversion"/>
  </si>
  <si>
    <t>Date</t>
    <phoneticPr fontId="2" type="noConversion"/>
  </si>
  <si>
    <t>company</t>
    <phoneticPr fontId="2" type="noConversion"/>
  </si>
  <si>
    <t>Company name</t>
    <phoneticPr fontId="2" type="noConversion"/>
  </si>
  <si>
    <t>Code</t>
    <phoneticPr fontId="2" type="noConversion"/>
  </si>
  <si>
    <t>Retained earnings-end balance</t>
    <phoneticPr fontId="2" type="noConversion"/>
  </si>
  <si>
    <t>+Cash and equivalent</t>
    <phoneticPr fontId="2" type="noConversion"/>
  </si>
  <si>
    <t>=Total current assets</t>
    <phoneticPr fontId="2" type="noConversion"/>
  </si>
  <si>
    <t>+A(All other items in current assets)</t>
    <phoneticPr fontId="2" type="noConversion"/>
  </si>
  <si>
    <t>+Total non-current assets</t>
    <phoneticPr fontId="2" type="noConversion"/>
  </si>
  <si>
    <t>=Total assets (TA)</t>
    <phoneticPr fontId="2" type="noConversion"/>
  </si>
  <si>
    <t>=Total liabilities and shareholders equity</t>
    <phoneticPr fontId="2" type="noConversion"/>
  </si>
  <si>
    <t>=TLE-TNCA-A</t>
    <phoneticPr fontId="2" type="noConversion"/>
  </si>
  <si>
    <t>TNCA</t>
    <phoneticPr fontId="2" type="noConversion"/>
  </si>
  <si>
    <t>TA=Cash+A+TNCA=TLE</t>
    <phoneticPr fontId="2" type="noConversion"/>
  </si>
  <si>
    <t>TLE</t>
    <phoneticPr fontId="2" type="noConversion"/>
  </si>
  <si>
    <r>
      <t>*ST</t>
    </r>
    <r>
      <rPr>
        <b/>
        <sz val="10"/>
        <rFont val="宋体"/>
        <family val="1"/>
        <charset val="134"/>
      </rPr>
      <t>天沃</t>
    </r>
    <phoneticPr fontId="2" type="noConversion"/>
  </si>
  <si>
    <t>002564</t>
    <phoneticPr fontId="2" type="noConversion"/>
  </si>
  <si>
    <t>Free cash flow the firm (FCFF)</t>
    <phoneticPr fontId="6" type="noConversion"/>
  </si>
  <si>
    <t>Assumption</t>
    <phoneticPr fontId="5" type="noConversion"/>
  </si>
  <si>
    <t>Rate</t>
    <phoneticPr fontId="5" type="noConversion"/>
  </si>
  <si>
    <t>Methodology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</si>
</sst>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¥&quot;#,##0.00;[Red]&quot;¥&quot;\-#,##0.00"/>
    <numFmt numFmtId="43" formatCode="_ * #,##0.00_ ;_ * \-#,##0.00_ ;_ * &quot;-&quot;??_ ;_ @_ "/>
    <numFmt numFmtId="176" formatCode="#,##0_ "/>
    <numFmt numFmtId="177" formatCode="_ * #,##0_ ;_ * \-#,##0_ ;_ * &quot;-&quot;??_ ;_ @_ "/>
    <numFmt numFmtId="178" formatCode="yyyy/mm/dd"/>
    <numFmt numFmtId="179" formatCode="0.00_ "/>
    <numFmt numFmtId="180" formatCode="0_ "/>
    <numFmt numFmtId="181" formatCode="#,##0.00_ "/>
    <numFmt numFmtId="182" formatCode="0.0%"/>
    <numFmt numFmtId="183" formatCode="yyyy\-mm\-dd"/>
    <numFmt numFmtId="184" formatCode="0.0000"/>
  </numFmts>
  <fonts count="3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9"/>
      <name val="宋体"/>
      <family val="3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sz val="9"/>
      <color indexed="9"/>
      <name val="Times New Roman"/>
      <family val="1"/>
    </font>
    <font>
      <sz val="10"/>
      <color rgb="FF0070C0"/>
      <name val="Times New Roman"/>
      <family val="1"/>
    </font>
    <font>
      <sz val="9"/>
      <name val="Times New Roman"/>
      <family val="3"/>
    </font>
    <font>
      <b/>
      <sz val="9"/>
      <color theme="1"/>
      <name val="Times New Roman"/>
      <family val="1"/>
    </font>
    <font>
      <b/>
      <sz val="9"/>
      <name val="Times New Roman"/>
      <family val="3"/>
    </font>
    <font>
      <sz val="9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9"/>
      <color rgb="FFFF0000"/>
      <name val="Times New Roman"/>
      <family val="1"/>
    </font>
    <font>
      <sz val="9"/>
      <color theme="1"/>
      <name val="Times New Roman"/>
      <family val="1"/>
    </font>
    <font>
      <sz val="9"/>
      <color rgb="FFFFFF00"/>
      <name val="Times New Roman"/>
      <family val="1"/>
    </font>
    <font>
      <sz val="9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color theme="8" tint="-0.249977111117893"/>
      <name val="Times New Roman"/>
      <family val="1"/>
    </font>
    <font>
      <sz val="10"/>
      <color theme="1"/>
      <name val="等线"/>
      <family val="2"/>
      <charset val="134"/>
      <scheme val="minor"/>
    </font>
    <font>
      <sz val="10"/>
      <color rgb="FF00B050"/>
      <name val="Times New Roman"/>
      <family val="1"/>
    </font>
    <font>
      <sz val="10"/>
      <color theme="5" tint="-0.499984740745262"/>
      <name val="Times New Roman"/>
      <family val="1"/>
    </font>
    <font>
      <b/>
      <sz val="10"/>
      <color rgb="FF00B050"/>
      <name val="Times New Roman"/>
      <family val="1"/>
    </font>
    <font>
      <b/>
      <sz val="10"/>
      <color rgb="FF0070C0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B050"/>
      <name val="Times New Roman"/>
      <family val="1"/>
    </font>
    <font>
      <i/>
      <sz val="10"/>
      <color rgb="FF0070C0"/>
      <name val="Times New Roman"/>
      <family val="1"/>
    </font>
    <font>
      <sz val="10"/>
      <color rgb="FFFF00FF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0"/>
      <name val="宋体"/>
      <family val="1"/>
      <charset val="134"/>
    </font>
    <font>
      <b/>
      <sz val="10"/>
      <color theme="0"/>
      <name val="Times New Roman"/>
      <family val="1"/>
    </font>
    <font>
      <b/>
      <sz val="9"/>
      <color theme="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/>
  </cellStyleXfs>
  <cellXfs count="17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8" fillId="0" borderId="0" xfId="0" applyFont="1" applyAlignment="1">
      <alignment horizontal="left"/>
    </xf>
    <xf numFmtId="0" fontId="12" fillId="0" borderId="0" xfId="0" applyFont="1" applyAlignment="1"/>
    <xf numFmtId="178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11" fillId="0" borderId="0" xfId="0" applyFont="1" applyAlignment="1"/>
    <xf numFmtId="40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right"/>
    </xf>
    <xf numFmtId="0" fontId="9" fillId="0" borderId="0" xfId="0" applyFont="1" applyAlignment="1"/>
    <xf numFmtId="178" fontId="9" fillId="0" borderId="0" xfId="0" applyNumberFormat="1" applyFont="1" applyAlignment="1"/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vertical="top" wrapText="1"/>
    </xf>
    <xf numFmtId="10" fontId="6" fillId="0" borderId="0" xfId="0" applyNumberFormat="1" applyFont="1" applyAlignment="1">
      <alignment horizontal="right" vertical="top" wrapText="1"/>
    </xf>
    <xf numFmtId="9" fontId="6" fillId="0" borderId="0" xfId="0" applyNumberFormat="1" applyFont="1" applyAlignment="1">
      <alignment horizontal="right" vertical="top" wrapText="1"/>
    </xf>
    <xf numFmtId="180" fontId="6" fillId="0" borderId="0" xfId="0" applyNumberFormat="1" applyFont="1" applyAlignment="1">
      <alignment horizontal="right" vertical="top" wrapText="1"/>
    </xf>
    <xf numFmtId="9" fontId="7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/>
    </xf>
    <xf numFmtId="180" fontId="6" fillId="0" borderId="0" xfId="0" applyNumberFormat="1" applyFont="1" applyAlignment="1">
      <alignment horizontal="center"/>
    </xf>
    <xf numFmtId="180" fontId="6" fillId="0" borderId="0" xfId="0" applyNumberFormat="1" applyFont="1" applyAlignment="1">
      <alignment horizontal="center" vertical="top" wrapText="1"/>
    </xf>
    <xf numFmtId="181" fontId="6" fillId="0" borderId="0" xfId="0" applyNumberFormat="1" applyFont="1" applyAlignment="1">
      <alignment horizontal="right" vertical="top" wrapText="1"/>
    </xf>
    <xf numFmtId="10" fontId="7" fillId="0" borderId="0" xfId="0" applyNumberFormat="1" applyFont="1" applyAlignment="1">
      <alignment horizontal="right" vertical="top" wrapText="1"/>
    </xf>
    <xf numFmtId="180" fontId="7" fillId="0" borderId="0" xfId="0" applyNumberFormat="1" applyFont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0" fontId="6" fillId="0" borderId="0" xfId="0" quotePrefix="1" applyFont="1" applyAlignment="1">
      <alignment horizontal="justify" vertical="top" wrapText="1"/>
    </xf>
    <xf numFmtId="179" fontId="6" fillId="0" borderId="0" xfId="0" applyNumberFormat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1" fillId="0" borderId="0" xfId="0" applyFont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6" fillId="0" borderId="0" xfId="0" applyFont="1" applyAlignment="1">
      <alignment horizontal="left"/>
    </xf>
    <xf numFmtId="8" fontId="6" fillId="0" borderId="0" xfId="1" applyNumberFormat="1" applyFont="1" applyFill="1" applyBorder="1" applyAlignment="1">
      <alignment horizontal="right" vertical="top" wrapText="1"/>
    </xf>
    <xf numFmtId="9" fontId="6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15" fillId="0" borderId="0" xfId="0" applyFont="1">
      <alignment vertical="center"/>
    </xf>
    <xf numFmtId="49" fontId="4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177" fontId="19" fillId="0" borderId="0" xfId="1" applyNumberFormat="1" applyFont="1">
      <alignment vertical="center"/>
    </xf>
    <xf numFmtId="10" fontId="19" fillId="0" borderId="0" xfId="2" applyNumberFormat="1" applyFont="1">
      <alignment vertical="center"/>
    </xf>
    <xf numFmtId="10" fontId="19" fillId="0" borderId="0" xfId="2" applyNumberFormat="1" applyFont="1" applyAlignment="1">
      <alignment horizontal="center" vertical="center"/>
    </xf>
    <xf numFmtId="1" fontId="19" fillId="0" borderId="0" xfId="1" applyNumberFormat="1" applyFont="1" applyAlignment="1">
      <alignment horizontal="center" vertical="center"/>
    </xf>
    <xf numFmtId="14" fontId="21" fillId="0" borderId="0" xfId="0" applyNumberFormat="1" applyFont="1" applyAlignment="1">
      <alignment horizontal="right"/>
    </xf>
    <xf numFmtId="176" fontId="4" fillId="0" borderId="0" xfId="0" applyNumberFormat="1" applyFont="1" applyAlignment="1">
      <alignment vertical="top"/>
    </xf>
    <xf numFmtId="0" fontId="4" fillId="14" borderId="0" xfId="0" applyFont="1" applyFill="1">
      <alignment vertical="center"/>
    </xf>
    <xf numFmtId="177" fontId="23" fillId="0" borderId="0" xfId="1" applyNumberFormat="1" applyFont="1">
      <alignment vertical="center"/>
    </xf>
    <xf numFmtId="177" fontId="10" fillId="0" borderId="0" xfId="1" applyNumberFormat="1" applyFont="1">
      <alignment vertical="center"/>
    </xf>
    <xf numFmtId="177" fontId="23" fillId="3" borderId="0" xfId="1" applyNumberFormat="1" applyFont="1" applyFill="1">
      <alignment vertical="center"/>
    </xf>
    <xf numFmtId="177" fontId="25" fillId="0" borderId="0" xfId="1" applyNumberFormat="1" applyFont="1" applyAlignment="1">
      <alignment vertical="top"/>
    </xf>
    <xf numFmtId="177" fontId="26" fillId="0" borderId="0" xfId="1" applyNumberFormat="1" applyFont="1">
      <alignment vertical="center"/>
    </xf>
    <xf numFmtId="177" fontId="15" fillId="0" borderId="0" xfId="1" applyNumberFormat="1" applyFont="1" applyAlignment="1">
      <alignment vertical="top"/>
    </xf>
    <xf numFmtId="177" fontId="23" fillId="0" borderId="0" xfId="1" applyNumberFormat="1" applyFont="1" applyAlignment="1">
      <alignment vertical="top"/>
    </xf>
    <xf numFmtId="177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0" fontId="27" fillId="0" borderId="1" xfId="0" applyFont="1" applyBorder="1" applyAlignment="1">
      <alignment horizontal="left" vertical="center" indent="1"/>
    </xf>
    <xf numFmtId="177" fontId="28" fillId="0" borderId="2" xfId="1" applyNumberFormat="1" applyFont="1" applyBorder="1" applyAlignment="1">
      <alignment vertical="top"/>
    </xf>
    <xf numFmtId="177" fontId="29" fillId="0" borderId="2" xfId="1" applyNumberFormat="1" applyFont="1" applyBorder="1">
      <alignment vertical="center"/>
    </xf>
    <xf numFmtId="0" fontId="27" fillId="0" borderId="0" xfId="0" applyFont="1">
      <alignment vertical="center"/>
    </xf>
    <xf numFmtId="0" fontId="27" fillId="0" borderId="4" xfId="0" applyFont="1" applyBorder="1" applyAlignment="1">
      <alignment horizontal="left" vertical="center" indent="1"/>
    </xf>
    <xf numFmtId="177" fontId="28" fillId="0" borderId="0" xfId="1" applyNumberFormat="1" applyFont="1" applyBorder="1" applyAlignment="1">
      <alignment vertical="top"/>
    </xf>
    <xf numFmtId="177" fontId="29" fillId="0" borderId="0" xfId="1" applyNumberFormat="1" applyFont="1" applyBorder="1">
      <alignment vertical="center"/>
    </xf>
    <xf numFmtId="0" fontId="27" fillId="0" borderId="6" xfId="0" applyFont="1" applyBorder="1" applyAlignment="1">
      <alignment horizontal="left" vertical="center" indent="1"/>
    </xf>
    <xf numFmtId="177" fontId="29" fillId="0" borderId="0" xfId="1" applyNumberFormat="1" applyFont="1">
      <alignment vertical="center"/>
    </xf>
    <xf numFmtId="177" fontId="29" fillId="0" borderId="7" xfId="1" applyNumberFormat="1" applyFont="1" applyBorder="1">
      <alignment vertical="center"/>
    </xf>
    <xf numFmtId="0" fontId="4" fillId="0" borderId="1" xfId="0" applyFont="1" applyBorder="1">
      <alignment vertical="center"/>
    </xf>
    <xf numFmtId="177" fontId="23" fillId="0" borderId="2" xfId="1" applyNumberFormat="1" applyFont="1" applyBorder="1" applyAlignment="1">
      <alignment vertical="top"/>
    </xf>
    <xf numFmtId="177" fontId="10" fillId="0" borderId="2" xfId="1" applyNumberFormat="1" applyFont="1" applyBorder="1" applyAlignment="1">
      <alignment vertical="top"/>
    </xf>
    <xf numFmtId="177" fontId="10" fillId="0" borderId="0" xfId="1" applyNumberFormat="1" applyFont="1" applyBorder="1" applyAlignment="1">
      <alignment vertical="top"/>
    </xf>
    <xf numFmtId="182" fontId="10" fillId="0" borderId="0" xfId="2" applyNumberFormat="1" applyFont="1">
      <alignment vertical="center"/>
    </xf>
    <xf numFmtId="10" fontId="10" fillId="0" borderId="0" xfId="0" applyNumberFormat="1" applyFont="1">
      <alignment vertical="center"/>
    </xf>
    <xf numFmtId="10" fontId="30" fillId="0" borderId="0" xfId="0" applyNumberFormat="1" applyFont="1">
      <alignment vertical="center"/>
    </xf>
    <xf numFmtId="177" fontId="26" fillId="0" borderId="0" xfId="0" applyNumberFormat="1" applyFont="1">
      <alignment vertical="center"/>
    </xf>
    <xf numFmtId="10" fontId="4" fillId="0" borderId="0" xfId="2" applyNumberFormat="1" applyFont="1">
      <alignment vertical="center"/>
    </xf>
    <xf numFmtId="9" fontId="10" fillId="0" borderId="0" xfId="0" applyNumberFormat="1" applyFont="1">
      <alignment vertical="center"/>
    </xf>
    <xf numFmtId="0" fontId="3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vertical="top"/>
    </xf>
    <xf numFmtId="177" fontId="4" fillId="0" borderId="2" xfId="1" applyNumberFormat="1" applyFont="1" applyBorder="1" applyAlignment="1">
      <alignment vertical="top"/>
    </xf>
    <xf numFmtId="177" fontId="10" fillId="0" borderId="2" xfId="1" applyNumberFormat="1" applyFont="1" applyBorder="1">
      <alignment vertical="center"/>
    </xf>
    <xf numFmtId="177" fontId="10" fillId="0" borderId="3" xfId="1" applyNumberFormat="1" applyFont="1" applyBorder="1">
      <alignment vertical="center"/>
    </xf>
    <xf numFmtId="0" fontId="4" fillId="0" borderId="4" xfId="0" applyFont="1" applyBorder="1">
      <alignment vertical="center"/>
    </xf>
    <xf numFmtId="177" fontId="4" fillId="0" borderId="0" xfId="1" applyNumberFormat="1" applyFont="1" applyBorder="1" applyAlignment="1">
      <alignment vertical="top"/>
    </xf>
    <xf numFmtId="177" fontId="10" fillId="0" borderId="5" xfId="1" applyNumberFormat="1" applyFont="1" applyBorder="1" applyAlignment="1">
      <alignment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177" fontId="10" fillId="0" borderId="7" xfId="1" applyNumberFormat="1" applyFont="1" applyBorder="1">
      <alignment vertical="center"/>
    </xf>
    <xf numFmtId="177" fontId="10" fillId="0" borderId="8" xfId="1" applyNumberFormat="1" applyFont="1" applyBorder="1">
      <alignment vertical="center"/>
    </xf>
    <xf numFmtId="10" fontId="30" fillId="0" borderId="0" xfId="2" applyNumberFormat="1" applyFont="1" applyBorder="1" applyAlignment="1">
      <alignment vertical="top"/>
    </xf>
    <xf numFmtId="43" fontId="4" fillId="0" borderId="0" xfId="0" applyNumberFormat="1" applyFont="1">
      <alignment vertical="center"/>
    </xf>
    <xf numFmtId="177" fontId="4" fillId="0" borderId="0" xfId="1" applyNumberFormat="1" applyFont="1">
      <alignment vertical="center"/>
    </xf>
    <xf numFmtId="0" fontId="4" fillId="0" borderId="0" xfId="0" applyFont="1" applyProtection="1">
      <alignment vertical="center"/>
      <protection locked="0"/>
    </xf>
    <xf numFmtId="14" fontId="18" fillId="0" borderId="0" xfId="0" applyNumberFormat="1" applyFont="1" applyAlignment="1">
      <alignment vertical="top"/>
    </xf>
    <xf numFmtId="0" fontId="10" fillId="0" borderId="0" xfId="0" applyFont="1" applyAlignment="1">
      <alignment horizontal="right" vertical="center"/>
    </xf>
    <xf numFmtId="14" fontId="8" fillId="0" borderId="0" xfId="0" applyNumberFormat="1" applyFont="1" applyAlignment="1">
      <alignment horizontal="right"/>
    </xf>
    <xf numFmtId="0" fontId="8" fillId="0" borderId="0" xfId="0" applyFont="1" applyAlignment="1"/>
    <xf numFmtId="0" fontId="8" fillId="3" borderId="0" xfId="0" applyFont="1" applyFill="1" applyAlignment="1"/>
    <xf numFmtId="0" fontId="8" fillId="8" borderId="0" xfId="0" applyFont="1" applyFill="1" applyAlignment="1"/>
    <xf numFmtId="0" fontId="32" fillId="0" borderId="0" xfId="0" applyFont="1" applyAlignment="1"/>
    <xf numFmtId="0" fontId="8" fillId="4" borderId="0" xfId="0" applyFont="1" applyFill="1" applyAlignment="1"/>
    <xf numFmtId="0" fontId="8" fillId="5" borderId="0" xfId="0" applyFont="1" applyFill="1" applyAlignment="1"/>
    <xf numFmtId="0" fontId="8" fillId="6" borderId="0" xfId="0" applyFont="1" applyFill="1" applyAlignment="1"/>
    <xf numFmtId="0" fontId="8" fillId="7" borderId="0" xfId="0" applyFont="1" applyFill="1" applyAlignment="1"/>
    <xf numFmtId="0" fontId="8" fillId="9" borderId="0" xfId="0" applyFont="1" applyFill="1" applyAlignment="1"/>
    <xf numFmtId="0" fontId="8" fillId="11" borderId="0" xfId="0" applyFont="1" applyFill="1" applyAlignment="1"/>
    <xf numFmtId="0" fontId="8" fillId="12" borderId="0" xfId="0" applyFont="1" applyFill="1" applyAlignment="1"/>
    <xf numFmtId="0" fontId="8" fillId="13" borderId="0" xfId="0" applyFont="1" applyFill="1" applyAlignment="1"/>
    <xf numFmtId="0" fontId="8" fillId="17" borderId="0" xfId="0" applyFont="1" applyFill="1" applyAlignment="1"/>
    <xf numFmtId="0" fontId="8" fillId="18" borderId="0" xfId="0" applyFont="1" applyFill="1" applyAlignment="1"/>
    <xf numFmtId="0" fontId="8" fillId="19" borderId="0" xfId="0" applyFont="1" applyFill="1" applyAlignment="1"/>
    <xf numFmtId="0" fontId="8" fillId="15" borderId="0" xfId="0" applyFont="1" applyFill="1" applyAlignment="1"/>
    <xf numFmtId="0" fontId="8" fillId="16" borderId="0" xfId="0" applyFont="1" applyFill="1" applyAlignment="1"/>
    <xf numFmtId="0" fontId="3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3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0" fillId="0" borderId="0" xfId="1" applyNumberFormat="1" applyFont="1" applyBorder="1">
      <alignment vertical="center"/>
    </xf>
    <xf numFmtId="0" fontId="34" fillId="0" borderId="0" xfId="0" applyFont="1" applyAlignment="1"/>
    <xf numFmtId="0" fontId="33" fillId="0" borderId="0" xfId="0" applyFont="1" applyAlignment="1">
      <alignment horizontal="right" vertical="top"/>
    </xf>
    <xf numFmtId="0" fontId="34" fillId="0" borderId="0" xfId="0" applyFont="1" applyAlignment="1">
      <alignment horizontal="right"/>
    </xf>
    <xf numFmtId="0" fontId="4" fillId="0" borderId="9" xfId="0" applyFont="1" applyBorder="1">
      <alignment vertical="center"/>
    </xf>
    <xf numFmtId="184" fontId="10" fillId="0" borderId="10" xfId="1" applyNumberFormat="1" applyFont="1" applyBorder="1">
      <alignment vertical="center"/>
    </xf>
    <xf numFmtId="183" fontId="34" fillId="0" borderId="0" xfId="0" applyNumberFormat="1" applyFont="1" applyAlignment="1"/>
    <xf numFmtId="0" fontId="22" fillId="0" borderId="0" xfId="0" applyFont="1" applyAlignment="1"/>
    <xf numFmtId="177" fontId="4" fillId="2" borderId="0" xfId="1" applyNumberFormat="1" applyFont="1" applyFill="1" applyAlignment="1">
      <alignment vertical="top"/>
    </xf>
    <xf numFmtId="14" fontId="15" fillId="2" borderId="0" xfId="0" applyNumberFormat="1" applyFont="1" applyFill="1" applyAlignment="1">
      <alignment horizontal="right"/>
    </xf>
    <xf numFmtId="177" fontId="24" fillId="2" borderId="0" xfId="1" applyNumberFormat="1" applyFont="1" applyFill="1">
      <alignment vertical="center"/>
    </xf>
    <xf numFmtId="177" fontId="4" fillId="2" borderId="0" xfId="1" applyNumberFormat="1" applyFont="1" applyFill="1" applyAlignment="1" applyProtection="1">
      <alignment vertical="top"/>
      <protection locked="0"/>
    </xf>
    <xf numFmtId="9" fontId="4" fillId="2" borderId="0" xfId="0" applyNumberFormat="1" applyFont="1" applyFill="1">
      <alignment vertical="center"/>
    </xf>
    <xf numFmtId="177" fontId="4" fillId="2" borderId="0" xfId="1" applyNumberFormat="1" applyFont="1" applyFill="1" applyProtection="1">
      <alignment vertical="center"/>
      <protection locked="0"/>
    </xf>
    <xf numFmtId="177" fontId="4" fillId="2" borderId="0" xfId="1" applyNumberFormat="1" applyFont="1" applyFill="1" applyAlignment="1" applyProtection="1">
      <alignment vertical="center" wrapText="1"/>
      <protection locked="0"/>
    </xf>
    <xf numFmtId="177" fontId="4" fillId="2" borderId="0" xfId="1" applyNumberFormat="1" applyFont="1" applyFill="1">
      <alignment vertical="center"/>
    </xf>
    <xf numFmtId="182" fontId="17" fillId="2" borderId="0" xfId="2" applyNumberFormat="1" applyFont="1" applyFill="1" applyAlignment="1">
      <alignment vertical="top"/>
    </xf>
    <xf numFmtId="0" fontId="4" fillId="0" borderId="0" xfId="0" applyFont="1" applyAlignment="1">
      <alignment vertical="top"/>
    </xf>
    <xf numFmtId="49" fontId="8" fillId="0" borderId="0" xfId="0" applyNumberFormat="1" applyFont="1" applyAlignment="1">
      <alignment horizontal="right"/>
    </xf>
    <xf numFmtId="0" fontId="4" fillId="20" borderId="0" xfId="0" applyFont="1" applyFill="1" applyAlignment="1">
      <alignment horizontal="left" vertical="center"/>
    </xf>
    <xf numFmtId="177" fontId="10" fillId="21" borderId="0" xfId="1" applyNumberFormat="1" applyFont="1" applyFill="1">
      <alignment vertical="center"/>
    </xf>
    <xf numFmtId="0" fontId="8" fillId="22" borderId="0" xfId="0" applyFont="1" applyFill="1" applyAlignment="1">
      <alignment horizontal="left"/>
    </xf>
    <xf numFmtId="177" fontId="10" fillId="22" borderId="0" xfId="1" applyNumberFormat="1" applyFont="1" applyFill="1">
      <alignment vertical="center"/>
    </xf>
    <xf numFmtId="0" fontId="4" fillId="22" borderId="0" xfId="0" applyFont="1" applyFill="1">
      <alignment vertical="center"/>
    </xf>
    <xf numFmtId="0" fontId="15" fillId="21" borderId="0" xfId="0" applyFont="1" applyFill="1">
      <alignment vertical="center"/>
    </xf>
    <xf numFmtId="177" fontId="26" fillId="21" borderId="0" xfId="1" applyNumberFormat="1" applyFont="1" applyFill="1">
      <alignment vertical="center"/>
    </xf>
    <xf numFmtId="0" fontId="36" fillId="20" borderId="0" xfId="0" applyFont="1" applyFill="1" applyAlignment="1"/>
    <xf numFmtId="0" fontId="32" fillId="21" borderId="0" xfId="0" applyFont="1" applyFill="1" applyAlignment="1">
      <alignment horizontal="left"/>
    </xf>
    <xf numFmtId="0" fontId="6" fillId="23" borderId="0" xfId="0" applyFont="1" applyFill="1" applyAlignment="1">
      <alignment horizontal="justify" vertical="top" wrapText="1"/>
    </xf>
    <xf numFmtId="43" fontId="19" fillId="23" borderId="0" xfId="1" applyFont="1" applyFill="1">
      <alignment vertical="center"/>
    </xf>
    <xf numFmtId="9" fontId="6" fillId="23" borderId="0" xfId="0" applyNumberFormat="1" applyFont="1" applyFill="1" applyAlignment="1">
      <alignment horizontal="right" vertical="top" wrapText="1"/>
    </xf>
    <xf numFmtId="10" fontId="19" fillId="23" borderId="0" xfId="2" applyNumberFormat="1" applyFont="1" applyFill="1">
      <alignment vertical="center"/>
    </xf>
    <xf numFmtId="177" fontId="19" fillId="23" borderId="0" xfId="1" applyNumberFormat="1" applyFont="1" applyFill="1">
      <alignment vertical="center"/>
    </xf>
    <xf numFmtId="9" fontId="6" fillId="23" borderId="0" xfId="0" applyNumberFormat="1" applyFont="1" applyFill="1" applyAlignment="1">
      <alignment horizontal="left" vertical="center"/>
    </xf>
    <xf numFmtId="0" fontId="7" fillId="23" borderId="0" xfId="0" applyFont="1" applyFill="1" applyAlignment="1">
      <alignment horizontal="justify" vertical="top" wrapText="1"/>
    </xf>
    <xf numFmtId="10" fontId="20" fillId="23" borderId="0" xfId="2" applyNumberFormat="1" applyFont="1" applyFill="1">
      <alignment vertical="center"/>
    </xf>
    <xf numFmtId="0" fontId="37" fillId="20" borderId="0" xfId="0" applyFont="1" applyFill="1" applyAlignment="1">
      <alignment horizontal="left"/>
    </xf>
    <xf numFmtId="0" fontId="6" fillId="23" borderId="0" xfId="0" applyFont="1" applyFill="1" applyAlignment="1">
      <alignment horizontal="right" vertical="top" wrapText="1"/>
    </xf>
    <xf numFmtId="0" fontId="6" fillId="20" borderId="0" xfId="0" applyFont="1" applyFill="1" applyAlignment="1">
      <alignment horizontal="right"/>
    </xf>
    <xf numFmtId="0" fontId="14" fillId="20" borderId="0" xfId="0" applyFont="1" applyFill="1" applyAlignment="1">
      <alignment horizontal="left" vertical="top"/>
    </xf>
    <xf numFmtId="0" fontId="7" fillId="20" borderId="0" xfId="0" applyFont="1" applyFill="1" applyAlignment="1"/>
    <xf numFmtId="10" fontId="19" fillId="23" borderId="0" xfId="2" applyNumberFormat="1" applyFont="1" applyFill="1" applyAlignment="1">
      <alignment horizontal="center" vertical="center"/>
    </xf>
    <xf numFmtId="1" fontId="19" fillId="23" borderId="0" xfId="1" applyNumberFormat="1" applyFont="1" applyFill="1" applyAlignment="1">
      <alignment horizontal="center" vertical="center"/>
    </xf>
    <xf numFmtId="0" fontId="37" fillId="20" borderId="0" xfId="0" applyFont="1" applyFill="1" applyAlignment="1">
      <alignment horizontal="justify" vertical="top" wrapText="1"/>
    </xf>
    <xf numFmtId="0" fontId="7" fillId="20" borderId="0" xfId="0" applyFont="1" applyFill="1" applyAlignment="1">
      <alignment horizontal="justify" vertical="top" wrapText="1"/>
    </xf>
    <xf numFmtId="0" fontId="13" fillId="23" borderId="0" xfId="0" applyFont="1" applyFill="1" applyAlignment="1">
      <alignment horizontal="justify" vertical="top" wrapText="1"/>
    </xf>
    <xf numFmtId="0" fontId="6" fillId="23" borderId="0" xfId="0" quotePrefix="1" applyFont="1" applyFill="1" applyAlignment="1">
      <alignment horizontal="justify" vertical="top" wrapText="1"/>
    </xf>
    <xf numFmtId="0" fontId="7" fillId="23" borderId="0" xfId="0" quotePrefix="1" applyFont="1" applyFill="1" applyAlignment="1">
      <alignment horizontal="justify" vertical="top" wrapText="1"/>
    </xf>
    <xf numFmtId="177" fontId="20" fillId="23" borderId="0" xfId="1" applyNumberFormat="1" applyFont="1" applyFill="1">
      <alignment vertical="center"/>
    </xf>
    <xf numFmtId="0" fontId="16" fillId="23" borderId="0" xfId="0" applyFont="1" applyFill="1" applyAlignment="1">
      <alignment horizontal="justify" vertical="top" wrapText="1"/>
    </xf>
    <xf numFmtId="1" fontId="16" fillId="23" borderId="0" xfId="0" applyNumberFormat="1" applyFont="1" applyFill="1" applyAlignment="1">
      <alignment horizontal="right" vertical="top" wrapText="1"/>
    </xf>
    <xf numFmtId="40" fontId="37" fillId="20" borderId="0" xfId="0" applyNumberFormat="1" applyFont="1" applyFill="1" applyAlignment="1">
      <alignment horizontal="right" vertical="top" wrapText="1"/>
    </xf>
    <xf numFmtId="0" fontId="0" fillId="24" borderId="0" xfId="0" applyFill="1">
      <alignment vertical="center"/>
    </xf>
    <xf numFmtId="0" fontId="37" fillId="20" borderId="0" xfId="0" applyFont="1" applyFill="1" applyAlignment="1">
      <alignment horizontal="center" vertical="top" wrapText="1"/>
    </xf>
    <xf numFmtId="0" fontId="7" fillId="20" borderId="0" xfId="0" applyFont="1" applyFill="1" applyAlignment="1">
      <alignment horizontal="center" vertical="top" wrapText="1"/>
    </xf>
    <xf numFmtId="0" fontId="17" fillId="20" borderId="0" xfId="0" applyFont="1" applyFill="1" applyAlignment="1">
      <alignment horizontal="center"/>
    </xf>
  </cellXfs>
  <cellStyles count="4">
    <cellStyle name="百分比" xfId="2" builtinId="5"/>
    <cellStyle name="常规" xfId="0" builtinId="0"/>
    <cellStyle name="常规 2" xfId="3" xr:uid="{259E97A4-4523-4A0B-9BFF-8E335754BA65}"/>
    <cellStyle name="千位分隔" xfId="1" builtinId="3"/>
  </cellStyles>
  <dxfs count="0"/>
  <tableStyles count="0" defaultTableStyle="TableStyleMedium2" defaultPivotStyle="PivotStyleLight16"/>
  <colors>
    <mruColors>
      <color rgb="FFFFFF00"/>
      <color rgb="FF666699"/>
      <color rgb="FFFF00FF"/>
      <color rgb="FF6666FF"/>
      <color rgb="FFFF6600"/>
      <color rgb="FF99CC00"/>
      <color rgb="FF66FF66"/>
      <color rgb="FFFFCCFF"/>
      <color rgb="FFCC6600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161925</xdr:rowOff>
    </xdr:from>
    <xdr:to>
      <xdr:col>2</xdr:col>
      <xdr:colOff>14288</xdr:colOff>
      <xdr:row>19</xdr:row>
      <xdr:rowOff>161925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0188"/>
          <a:ext cx="3643313" cy="18335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77787</xdr:colOff>
      <xdr:row>5</xdr:row>
      <xdr:rowOff>76200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4">
              <a:extLst>
                <a:ext uri="{FF2B5EF4-FFF2-40B4-BE49-F238E27FC236}">
                  <a16:creationId xmlns:a16="http://schemas.microsoft.com/office/drawing/2014/main" id="{00000000-0008-0000-0B00-000002000000}"/>
                </a:ext>
              </a:extLst>
            </xdr:cNvPr>
            <xdr:cNvSpPr txBox="1"/>
          </xdr:nvSpPr>
          <xdr:spPr bwMode="auto">
            <a:xfrm>
              <a:off x="0" y="0"/>
              <a:ext cx="3125787" cy="99060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zh-CN" altLang="en-US" sz="22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𝐸𝑉</m:t>
                    </m:r>
                    <m:r>
                      <a:rPr lang="zh-CN" altLang="en-US" sz="22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zh-CN" altLang="en-US" sz="2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zh-CN" altLang="en-US" sz="2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zh-CN" altLang="en-US" sz="2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zh-CN" altLang="en-US" sz="22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∞</m:t>
                        </m:r>
                      </m:sup>
                      <m:e>
                        <m:f>
                          <m:fPr>
                            <m:ctrlPr>
                              <a:rPr lang="zh-CN" altLang="en-US" sz="2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zh-CN" altLang="en-US" sz="22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𝐹𝐶</m:t>
                            </m:r>
                            <m:sSub>
                              <m:sSubPr>
                                <m:ctrlPr>
                                  <a:rPr lang="zh-CN" altLang="en-US" sz="22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2200" b="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  <m:r>
                                  <a:rPr lang="zh-CN" altLang="en-US" sz="22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zh-CN" altLang="en-US" sz="22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sSup>
                              <m:sSupPr>
                                <m:ctrlPr>
                                  <a:rPr lang="zh-CN" altLang="en-US" sz="22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zh-CN" altLang="en-US" sz="2200" i="1">
                                        <a:solidFill>
                                          <a:srgbClr val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zh-CN" altLang="en-US" sz="2200" i="1">
                                        <a:solidFill>
                                          <a:srgbClr val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r>
                                      <a:rPr lang="zh-CN" altLang="en-US" sz="2200" i="1">
                                        <a:solidFill>
                                          <a:srgbClr val="00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𝑊𝐴𝐶𝐶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zh-CN" altLang="en-US" sz="22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p>
                            </m:sSup>
                          </m:den>
                        </m:f>
                      </m:e>
                    </m:nary>
                  </m:oMath>
                </m:oMathPara>
              </a14:m>
              <a:endParaRPr lang="zh-CN" altLang="en-US" sz="2200"/>
            </a:p>
          </xdr:txBody>
        </xdr:sp>
      </mc:Choice>
      <mc:Fallback xmlns="">
        <xdr:sp macro="" textlink="">
          <xdr:nvSpPr>
            <xdr:cNvPr id="2" name="Object 4">
              <a:extLst>
                <a:ext uri="{FF2B5EF4-FFF2-40B4-BE49-F238E27FC236}">
                  <a16:creationId xmlns:a16="http://schemas.microsoft.com/office/drawing/2014/main" id="{5160E9FA-354C-4663-A010-F3F6B20936DF}"/>
                </a:ext>
              </a:extLst>
            </xdr:cNvPr>
            <xdr:cNvSpPr txBox="1"/>
          </xdr:nvSpPr>
          <xdr:spPr bwMode="auto">
            <a:xfrm>
              <a:off x="0" y="0"/>
              <a:ext cx="3125787" cy="99060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zh-CN" altLang="en-US" sz="22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𝐸𝑉=∑_(𝑡=1)^∞▒(𝐹𝐶〖</a:t>
              </a:r>
              <a:r>
                <a:rPr lang="en-US" altLang="zh-CN" sz="22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𝐹</a:t>
              </a:r>
              <a:r>
                <a:rPr lang="zh-CN" altLang="en-US" sz="22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𝐹〗_𝑡)/(1+𝑊𝐴𝐶𝐶)^𝑡 </a:t>
              </a:r>
              <a:endParaRPr lang="zh-CN" altLang="en-US" sz="2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114300</xdr:colOff>
          <xdr:row>0</xdr:row>
          <xdr:rowOff>57150</xdr:rowOff>
        </xdr:from>
        <xdr:to>
          <xdr:col>20</xdr:col>
          <xdr:colOff>604838</xdr:colOff>
          <xdr:row>14</xdr:row>
          <xdr:rowOff>80963</xdr:rowOff>
        </xdr:to>
        <xdr:sp macro="" textlink="">
          <xdr:nvSpPr>
            <xdr:cNvPr id="28673" name="Object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B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285750</xdr:colOff>
          <xdr:row>1</xdr:row>
          <xdr:rowOff>147638</xdr:rowOff>
        </xdr:from>
        <xdr:to>
          <xdr:col>13</xdr:col>
          <xdr:colOff>328613</xdr:colOff>
          <xdr:row>4</xdr:row>
          <xdr:rowOff>171450</xdr:rowOff>
        </xdr:to>
        <xdr:sp macro="" textlink="">
          <xdr:nvSpPr>
            <xdr:cNvPr id="28674" name="Object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B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315785</xdr:colOff>
      <xdr:row>12</xdr:row>
      <xdr:rowOff>30480</xdr:rowOff>
    </xdr:from>
    <xdr:to>
      <xdr:col>14</xdr:col>
      <xdr:colOff>167641</xdr:colOff>
      <xdr:row>20</xdr:row>
      <xdr:rowOff>100687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Object 3">
              <a:extLst>
                <a:ext uri="{FF2B5EF4-FFF2-40B4-BE49-F238E27FC236}">
                  <a16:creationId xmlns:a16="http://schemas.microsoft.com/office/drawing/2014/main" id="{00000000-0008-0000-0B00-000005000000}"/>
                </a:ext>
              </a:extLst>
            </xdr:cNvPr>
            <xdr:cNvSpPr txBox="1"/>
          </xdr:nvSpPr>
          <xdr:spPr>
            <a:xfrm>
              <a:off x="315785" y="2225040"/>
              <a:ext cx="8386256" cy="1533247"/>
            </a:xfrm>
            <a:prstGeom prst="rect">
              <a:avLst/>
            </a:prstGeom>
            <a:noFill/>
            <a:ln w="25400">
              <a:solidFill>
                <a:schemeClr val="accent1">
                  <a:lumMod val="60000"/>
                  <a:lumOff val="40000"/>
                </a:schemeClr>
              </a:solidFill>
            </a:ln>
          </xdr:spPr>
          <xdr:txBody>
            <a:bodyPr wrap="square">
              <a:normAutofit fontScale="92500"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zh-CN" altLang="en-US" sz="18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𝐸𝑛𝑡𝑒𝑟𝑝𝑟𝑖𝑠𝑒𝑣𝑎𝑙𝑢𝑒</m:t>
                    </m:r>
                    <m:r>
                      <a:rPr lang="zh-CN" altLang="en-US" sz="18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zh-CN" altLang="en-US" sz="18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𝐸𝑉</m:t>
                    </m:r>
                    <m:r>
                      <a:rPr lang="zh-CN" altLang="en-US" sz="18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  <m:oMath xmlns:m="http://schemas.openxmlformats.org/officeDocument/2006/math">
                    <m:r>
                      <m:rPr>
                        <m:aln/>
                      </m:rPr>
                      <a:rPr lang="zh-CN" altLang="en-US" sz="18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zh-CN" altLang="en-US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zh-CN" altLang="en-US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zh-CN" altLang="en-US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&amp;</m:t>
                            </m:r>
                            <m:nary>
                              <m:naryPr>
                                <m:chr m:val="∑"/>
                                <m:ctrlPr>
                                  <a:rPr lang="zh-CN" altLang="en-US" sz="180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zh-CN" altLang="en-US" sz="180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  <m:r>
                                  <a:rPr lang="zh-CN" altLang="en-US" sz="180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zh-CN" altLang="en-US" sz="180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sup>
                              <m:e>
                                <m:f>
                                  <m:fPr>
                                    <m:ctrlPr>
                                      <a:rPr lang="zh-CN" altLang="en-US" sz="1800" i="1">
                                        <a:solidFill>
                                          <a:srgbClr val="FF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zh-CN" altLang="en-US" sz="1800" i="1">
                                        <a:solidFill>
                                          <a:srgbClr val="FF0000"/>
                                        </a:solidFill>
                                        <a:latin typeface="Cambria Math" panose="02040503050406030204" pitchFamily="18" charset="0"/>
                                      </a:rPr>
                                      <m:t>𝐹𝐶</m:t>
                                    </m:r>
                                    <m:sSub>
                                      <m:sSubPr>
                                        <m:ctrlPr>
                                          <a:rPr lang="zh-CN" altLang="en-US" sz="1800" i="1">
                                            <a:solidFill>
                                              <a:srgbClr val="FF0000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altLang="zh-CN" sz="1800" b="0" i="1">
                                            <a:solidFill>
                                              <a:srgbClr val="FF0000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  <m:r>
                                          <a:rPr lang="zh-CN" altLang="en-US" sz="1800" i="1">
                                            <a:solidFill>
                                              <a:srgbClr val="FF0000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zh-CN" altLang="en-US" sz="1800" i="1">
                                            <a:solidFill>
                                              <a:srgbClr val="FF0000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  <m:t>𝑡</m:t>
                                        </m:r>
                                      </m:sub>
                                    </m:sSub>
                                  </m:num>
                                  <m:den>
                                    <m:sSup>
                                      <m:sSupPr>
                                        <m:ctrlPr>
                                          <a:rPr lang="zh-CN" altLang="en-US" sz="1800" i="1">
                                            <a:solidFill>
                                              <a:srgbClr val="FF0000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d>
                                          <m:dPr>
                                            <m:ctrlPr>
                                              <a:rPr lang="zh-CN" altLang="en-US" sz="1800" i="1">
                                                <a:solidFill>
                                                  <a:srgbClr val="FF0000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zh-CN" altLang="en-US" sz="1800" i="1">
                                                <a:solidFill>
                                                  <a:srgbClr val="FF0000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  <m:t>1+</m:t>
                                            </m:r>
                                            <m:r>
                                              <a:rPr lang="zh-CN" altLang="en-US" sz="1800" i="1">
                                                <a:solidFill>
                                                  <a:srgbClr val="FF0000"/>
                                                </a:solidFill>
                                                <a:latin typeface="Cambria Math" panose="02040503050406030204" pitchFamily="18" charset="0"/>
                                              </a:rPr>
                                              <m:t>𝑊𝐴𝐶𝐶</m:t>
                                            </m:r>
                                          </m:e>
                                        </m:d>
                                      </m:e>
                                      <m:sup>
                                        <m:r>
                                          <a:rPr lang="zh-CN" altLang="en-US" sz="1800" i="1">
                                            <a:solidFill>
                                              <a:srgbClr val="FF0000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  <m:t>𝑡</m:t>
                                        </m:r>
                                      </m:sup>
                                    </m:sSup>
                                  </m:den>
                                </m:f>
                              </m:e>
                            </m:nary>
                          </m:e>
                          <m:e>
                            <m:r>
                              <a:rPr lang="zh-CN" altLang="en-US" sz="18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&amp;</m:t>
                            </m:r>
                          </m:e>
                        </m:eqArr>
                        <m:r>
                          <a:rPr lang="en-US" altLang="zh-CN" sz="18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8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nary>
                          <m:naryPr>
                            <m:chr m:val="∑"/>
                            <m:ctrlPr>
                              <a:rPr lang="zh-CN" altLang="en-US" sz="1800" i="1" kern="1200">
                                <a:solidFill>
                                  <a:srgbClr val="0070C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a:rPr lang="zh-CN" altLang="en-US" sz="1800" i="1" kern="1200">
                                <a:solidFill>
                                  <a:srgbClr val="0070C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  <m:r>
                              <a:rPr lang="en-US" altLang="zh-CN" sz="1800" i="1" kern="1200">
                                <a:solidFill>
                                  <a:srgbClr val="0070C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US" altLang="zh-CN" sz="1800" b="0" i="1" kern="1200">
                                <a:solidFill>
                                  <a:srgbClr val="0070C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</m:t>
                            </m:r>
                          </m:sub>
                          <m:sup>
                            <m:r>
                              <a:rPr lang="en-US" altLang="zh-CN" sz="1800" b="0" i="1" kern="1200">
                                <a:solidFill>
                                  <a:srgbClr val="0070C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15</m:t>
                            </m:r>
                          </m:sup>
                          <m:e>
                            <m:f>
                              <m:fPr>
                                <m:ctrlPr>
                                  <a:rPr lang="zh-CN" altLang="en-US" sz="1800" i="1" kern="1200">
                                    <a:solidFill>
                                      <a:srgbClr val="0070C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zh-CN" altLang="en-US" sz="1800" i="1" kern="1200">
                                    <a:solidFill>
                                      <a:srgbClr val="0070C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𝐹𝐶</m:t>
                                </m:r>
                                <m:sSub>
                                  <m:sSubPr>
                                    <m:ctrlPr>
                                      <a:rPr lang="zh-CN" altLang="en-US" sz="1800" i="1" kern="1200">
                                        <a:solidFill>
                                          <a:srgbClr val="0070C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b="0" i="1" kern="1200">
                                        <a:solidFill>
                                          <a:srgbClr val="0070C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𝐹</m:t>
                                    </m:r>
                                    <m:r>
                                      <a:rPr lang="zh-CN" altLang="en-US" sz="1800" i="1" kern="1200">
                                        <a:solidFill>
                                          <a:srgbClr val="0070C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𝐹</m:t>
                                    </m:r>
                                  </m:e>
                                  <m:sub>
                                    <m:r>
                                      <a:rPr lang="zh-CN" altLang="en-US" sz="1800" i="1" kern="1200">
                                        <a:solidFill>
                                          <a:srgbClr val="0070C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sub>
                                </m:sSub>
                              </m:num>
                              <m:den>
                                <m:sSup>
                                  <m:sSupPr>
                                    <m:ctrlPr>
                                      <a:rPr lang="zh-CN" altLang="en-US" sz="1800" i="1" kern="1200">
                                        <a:solidFill>
                                          <a:srgbClr val="0070C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zh-CN" altLang="en-US" sz="1800" i="1" kern="1200">
                                            <a:solidFill>
                                              <a:srgbClr val="0070C0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US" altLang="zh-CN" sz="1800" i="1" kern="1200">
                                            <a:solidFill>
                                              <a:srgbClr val="0070C0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1+</m:t>
                                        </m:r>
                                        <m:r>
                                          <a:rPr lang="zh-CN" altLang="en-US" sz="1800" i="1" kern="1200">
                                            <a:solidFill>
                                              <a:srgbClr val="0070C0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𝑊𝐴𝐶𝐶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zh-CN" altLang="en-US" sz="1800" i="1" kern="1200">
                                        <a:solidFill>
                                          <a:srgbClr val="0070C0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</m:t>
                                    </m:r>
                                  </m:sup>
                                </m:sSup>
                              </m:den>
                            </m:f>
                          </m:e>
                        </m:nary>
                        <m:r>
                          <a:rPr lang="en-US" sz="18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+ </m:t>
                        </m:r>
                        <m:r>
                          <a:rPr lang="en-US" sz="1800" b="0" i="1" kern="1200">
                            <a:solidFill>
                              <a:schemeClr val="accent6">
                                <a:lumMod val="75000"/>
                              </a:schemeClr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f>
                          <m:fPr>
                            <m:ctrlPr>
                              <a:rPr lang="zh-CN" altLang="en-US" sz="1800" i="1" kern="1200">
                                <a:solidFill>
                                  <a:schemeClr val="accent6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zh-CN" altLang="en-US" sz="1800" i="1" kern="1200">
                                <a:solidFill>
                                  <a:schemeClr val="accent6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𝐹𝐶</m:t>
                            </m:r>
                            <m:r>
                              <a:rPr lang="en-US" sz="1800" b="0" i="1" kern="1200">
                                <a:solidFill>
                                  <a:schemeClr val="accent6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zh-CN" altLang="en-US" sz="1800" i="1" kern="1200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zh-CN" altLang="en-US" sz="1800" i="1" kern="1200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US" sz="1800" b="0" i="1" kern="1200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15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zh-CN" altLang="en-US" sz="1800" i="1" kern="1200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altLang="zh-CN" sz="1800" i="1" kern="1200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1+</m:t>
                                </m:r>
                                <m:r>
                                  <a:rPr lang="zh-CN" altLang="en-US" sz="1800" i="1" kern="1200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𝐿𝑇𝑔𝑟𝑜𝑤𝑡</m:t>
                                </m:r>
                                <m:r>
                                  <a:rPr lang="en-US" altLang="zh-CN" sz="1800" i="1" kern="1200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h</m:t>
                                </m:r>
                              </m:e>
                            </m:d>
                          </m:num>
                          <m:den>
                            <m:r>
                              <a:rPr lang="zh-CN" altLang="en-US" sz="1800" i="1" kern="1200">
                                <a:solidFill>
                                  <a:schemeClr val="accent6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𝑊𝐴𝐶𝐶</m:t>
                            </m:r>
                            <m:r>
                              <a:rPr lang="zh-CN" altLang="en-US" sz="1800" i="1" kern="1200">
                                <a:solidFill>
                                  <a:schemeClr val="accent6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zh-CN" altLang="en-US" sz="1800" i="1" kern="1200">
                                <a:solidFill>
                                  <a:schemeClr val="accent6">
                                    <a:lumMod val="75000"/>
                                  </a:schemeClr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𝐿𝑇𝑔𝑟𝑜𝑤𝑡h</m:t>
                            </m:r>
                          </m:den>
                        </m:f>
                        <m:r>
                          <a:rPr lang="en-US" altLang="zh-CN" sz="1800" b="0" i="1">
                            <a:solidFill>
                              <a:schemeClr val="accent6">
                                <a:lumMod val="75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)/</m:t>
                        </m:r>
                        <m:sSup>
                          <m:sSupPr>
                            <m:ctrlPr>
                              <a:rPr lang="zh-CN" altLang="en-US" sz="1800" i="1">
                                <a:solidFill>
                                  <a:schemeClr val="accent6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zh-CN" altLang="en-US" sz="1800" i="1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zh-CN" altLang="en-US" sz="1800" i="1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1+</m:t>
                                </m:r>
                                <m:r>
                                  <a:rPr lang="zh-CN" altLang="en-US" sz="1800" i="1">
                                    <a:solidFill>
                                      <a:schemeClr val="accent6">
                                        <a:lumMod val="75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𝑊𝐴𝐶𝐶</m:t>
                                </m:r>
                              </m:e>
                            </m:d>
                          </m:e>
                          <m:sup>
                            <m:r>
                              <a:rPr lang="en-US" altLang="zh-CN" sz="1800" b="0" i="1">
                                <a:solidFill>
                                  <a:schemeClr val="accent6">
                                    <a:lumMod val="75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15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CN" altLang="en-US" sz="1800"/>
            </a:p>
          </xdr:txBody>
        </xdr:sp>
      </mc:Choice>
      <mc:Fallback xmlns="">
        <xdr:sp macro="" textlink="">
          <xdr:nvSpPr>
            <xdr:cNvPr id="5" name="Object 3">
              <a:extLst>
                <a:ext uri="{FF2B5EF4-FFF2-40B4-BE49-F238E27FC236}">
                  <a16:creationId xmlns:a16="http://schemas.microsoft.com/office/drawing/2014/main" id="{3800ABF1-1030-41AD-8CAB-64C4C1D3417B}"/>
                </a:ext>
              </a:extLst>
            </xdr:cNvPr>
            <xdr:cNvSpPr txBox="1"/>
          </xdr:nvSpPr>
          <xdr:spPr>
            <a:xfrm>
              <a:off x="315785" y="2225040"/>
              <a:ext cx="8386256" cy="1533247"/>
            </a:xfrm>
            <a:prstGeom prst="rect">
              <a:avLst/>
            </a:prstGeom>
            <a:noFill/>
            <a:ln w="25400">
              <a:solidFill>
                <a:schemeClr val="accent1">
                  <a:lumMod val="60000"/>
                  <a:lumOff val="40000"/>
                </a:schemeClr>
              </a:solidFill>
            </a:ln>
          </xdr:spPr>
          <xdr:txBody>
            <a:bodyPr wrap="square">
              <a:normAutofit fontScale="92500"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zh-CN" altLang="en-US" sz="18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𝐸𝑛𝑡𝑒𝑟𝑝𝑟𝑖𝑠𝑒𝑣𝑎𝑙𝑢𝑒(𝐸𝑉)</a:t>
              </a:r>
              <a:br>
                <a:rPr lang="zh-CN" altLang="en-US" sz="1800" i="1">
                  <a:solidFill>
                    <a:srgbClr val="000000"/>
                  </a:solidFill>
                  <a:latin typeface="Cambria Math" panose="02040503050406030204" pitchFamily="18" charset="0"/>
                </a:rPr>
              </a:br>
              <a:r>
                <a:rPr lang="zh-CN" altLang="en-US" sz="18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&amp;={█(&amp;</a:t>
              </a:r>
              <a:r>
                <a:rPr lang="zh-CN" altLang="en-US" sz="18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∑_(𝑡=1)^5▒(𝐹𝐶〖</a:t>
              </a:r>
              <a:r>
                <a:rPr lang="en-US" altLang="zh-CN" sz="18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𝐹</a:t>
              </a:r>
              <a:r>
                <a:rPr lang="zh-CN" altLang="en-US" sz="180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𝐹〗_𝑡)/(1+𝑊𝐴𝐶𝐶)^𝑡 </a:t>
              </a:r>
              <a:r>
                <a:rPr lang="zh-CN" altLang="en-US" sz="18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@&amp;)</a:t>
              </a:r>
              <a:r>
                <a:rPr lang="en-US" altLang="zh-CN" sz="18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n-U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zh-CN" altLang="en-US" sz="1800" b="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∑</a:t>
              </a:r>
              <a:r>
                <a:rPr lang="en-US" altLang="zh-CN" sz="1800" b="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zh-CN" altLang="en-US" sz="1800" b="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zh-CN" altLang="en-US" sz="180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lang="en-US" altLang="zh-CN" sz="180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altLang="zh-CN" sz="1800" b="0" i="0" kern="120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zh-CN" altLang="en-US" sz="1800" b="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altLang="zh-CN" sz="1800" b="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altLang="zh-CN" sz="1800" b="0" i="0" kern="1200">
                  <a:solidFill>
                    <a:srgbClr val="0070C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15</a:t>
              </a:r>
              <a:r>
                <a:rPr lang="zh-CN" altLang="en-US" sz="1800" b="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▒(</a:t>
              </a:r>
              <a:r>
                <a:rPr lang="zh-CN" altLang="en-US" sz="180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𝐹𝐶〖</a:t>
              </a:r>
              <a:r>
                <a:rPr lang="en-US" sz="1800" b="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𝐹</a:t>
              </a:r>
              <a:r>
                <a:rPr lang="zh-CN" altLang="en-US" sz="180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𝐹〗_𝑡)/(</a:t>
              </a:r>
              <a:r>
                <a:rPr lang="en-US" altLang="zh-CN" sz="180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1+</a:t>
              </a:r>
              <a:r>
                <a:rPr lang="zh-CN" altLang="en-US" sz="1800" i="0" kern="1200">
                  <a:solidFill>
                    <a:srgbClr val="0070C0"/>
                  </a:solidFill>
                  <a:effectLst/>
                  <a:latin typeface="+mn-lt"/>
                  <a:ea typeface="+mn-ea"/>
                  <a:cs typeface="+mn-cs"/>
                </a:rPr>
                <a:t>𝑊𝐴𝐶𝐶)^𝑡 </a:t>
              </a:r>
              <a:r>
                <a:rPr lang="en-US" altLang="zh-CN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+ </a:t>
              </a:r>
              <a:r>
                <a:rPr lang="en-US" sz="1800" b="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zh-CN" altLang="en-US" sz="1800" b="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zh-CN" altLang="en-US" sz="180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𝐹𝐶</a:t>
              </a:r>
              <a:r>
                <a:rPr lang="en-US" sz="1800" b="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𝐹</a:t>
              </a:r>
              <a:r>
                <a:rPr lang="zh-CN" altLang="en-US" sz="180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𝐹_</a:t>
              </a:r>
              <a:r>
                <a:rPr lang="en-US" sz="1800" b="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15</a:t>
              </a:r>
              <a:r>
                <a:rPr lang="zh-CN" altLang="en-US" sz="1800" b="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(</a:t>
              </a:r>
              <a:r>
                <a:rPr lang="en-US" altLang="zh-CN" sz="180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1+</a:t>
              </a:r>
              <a:r>
                <a:rPr lang="zh-CN" altLang="en-US" sz="180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𝐿𝑇𝑔𝑟𝑜𝑤𝑡</a:t>
              </a:r>
              <a:r>
                <a:rPr lang="en-US" altLang="zh-CN" sz="180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ℎ)</a:t>
              </a:r>
              <a:r>
                <a:rPr lang="zh-CN" altLang="en-US" sz="180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)/(𝑊𝐴𝐶𝐶−𝐿𝑇𝑔𝑟𝑜𝑤𝑡</a:t>
              </a:r>
              <a:r>
                <a:rPr lang="en-US" altLang="zh-CN" sz="180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ℎ</a:t>
              </a:r>
              <a:r>
                <a:rPr lang="zh-CN" altLang="en-US" sz="1800" i="0" kern="1200">
                  <a:solidFill>
                    <a:schemeClr val="accent6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altLang="zh-CN" sz="1800" b="0" i="0">
                  <a:solidFill>
                    <a:schemeClr val="accent6">
                      <a:lumMod val="75000"/>
                    </a:schemeClr>
                  </a:solidFill>
                  <a:latin typeface="Cambria Math" panose="02040503050406030204" pitchFamily="18" charset="0"/>
                </a:rPr>
                <a:t>)/</a:t>
              </a:r>
              <a:r>
                <a:rPr lang="zh-CN" altLang="en-US" sz="1800" b="0" i="0">
                  <a:solidFill>
                    <a:schemeClr val="accent6">
                      <a:lumMod val="75000"/>
                    </a:schemeClr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800" i="0">
                  <a:solidFill>
                    <a:schemeClr val="accent6">
                      <a:lumMod val="75000"/>
                    </a:schemeClr>
                  </a:solidFill>
                  <a:latin typeface="Cambria Math" panose="02040503050406030204" pitchFamily="18" charset="0"/>
                </a:rPr>
                <a:t>1+𝑊𝐴𝐶𝐶)^</a:t>
              </a:r>
              <a:r>
                <a:rPr lang="en-US" altLang="zh-CN" sz="1800" b="0" i="0">
                  <a:solidFill>
                    <a:schemeClr val="accent6">
                      <a:lumMod val="75000"/>
                    </a:schemeClr>
                  </a:solidFill>
                  <a:latin typeface="Cambria Math" panose="02040503050406030204" pitchFamily="18" charset="0"/>
                </a:rPr>
                <a:t>15</a:t>
              </a:r>
              <a:r>
                <a:rPr lang="en-US" altLang="zh-CN" sz="18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 }</a:t>
              </a:r>
              <a:endParaRPr lang="zh-CN" altLang="en-US" sz="1800"/>
            </a:p>
          </xdr:txBody>
        </xdr:sp>
      </mc:Fallback>
    </mc:AlternateContent>
    <xdr:clientData/>
  </xdr:twoCellAnchor>
  <xdr:twoCellAnchor>
    <xdr:from>
      <xdr:col>1</xdr:col>
      <xdr:colOff>0</xdr:colOff>
      <xdr:row>22</xdr:row>
      <xdr:rowOff>171464</xdr:rowOff>
    </xdr:from>
    <xdr:to>
      <xdr:col>17</xdr:col>
      <xdr:colOff>144780</xdr:colOff>
      <xdr:row>29</xdr:row>
      <xdr:rowOff>99060</xdr:rowOff>
    </xdr:to>
    <xdr:sp macro="" textlink="">
      <xdr:nvSpPr>
        <xdr:cNvPr id="6" name="Content Placeholder 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/>
        </xdr:cNvSpPr>
      </xdr:nvSpPr>
      <xdr:spPr>
        <a:xfrm>
          <a:off x="609600" y="4194824"/>
          <a:ext cx="9898380" cy="1207756"/>
        </a:xfrm>
        <a:prstGeom prst="rect">
          <a:avLst/>
        </a:prstGeom>
      </xdr:spPr>
      <xdr:txBody>
        <a:bodyPr wrap="square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Three stages</a:t>
          </a:r>
        </a:p>
        <a:p>
          <a:pPr lvl="1">
            <a:buFont typeface="Wingdings" panose="05000000000000000000" pitchFamily="2" charset="2"/>
            <a:buChar char="Ø"/>
          </a:pPr>
          <a:r>
            <a:rPr lang="en-US" alt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First stage: 2022-2026 (forecast FCFF for each year)</a:t>
          </a:r>
        </a:p>
        <a:p>
          <a:pPr lvl="1">
            <a:buFont typeface="Wingdings" panose="05000000000000000000" pitchFamily="2" charset="2"/>
            <a:buChar char="Ø"/>
          </a:pPr>
          <a:r>
            <a:rPr lang="en-US" alt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Second stage: 2027-2036 (Assume</a:t>
          </a:r>
          <a:r>
            <a:rPr lang="en-US" alt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a constant growth rate for each year)</a:t>
          </a:r>
          <a:endParaRPr lang="en-US" altLang="en-US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lvl="1">
            <a:buFont typeface="Wingdings" panose="05000000000000000000" pitchFamily="2" charset="2"/>
            <a:buChar char="Ø"/>
          </a:pPr>
          <a:r>
            <a:rPr lang="en-US" alt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Third</a:t>
          </a:r>
          <a:r>
            <a:rPr lang="en-US" alt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stage: 2037-Infinity (</a:t>
          </a:r>
          <a:r>
            <a:rPr lang="en-US" alt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Assume a Long-term permanent growth rate (LT growth))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C18A-835F-44A5-99AA-39BEB4C99784}">
  <dimension ref="A1:E6"/>
  <sheetViews>
    <sheetView workbookViewId="0">
      <selection activeCell="C23" sqref="C23"/>
    </sheetView>
  </sheetViews>
  <sheetFormatPr defaultColWidth="8.6640625" defaultRowHeight="13.15" x14ac:dyDescent="0.4"/>
  <cols>
    <col min="1" max="2" width="25.3984375" style="1" customWidth="1"/>
    <col min="3" max="3" width="27.19921875" style="1" customWidth="1"/>
    <col min="4" max="4" width="25.3984375" style="1" customWidth="1"/>
    <col min="5" max="5" width="19.19921875" style="1" customWidth="1"/>
    <col min="6" max="16384" width="8.6640625" style="1"/>
  </cols>
  <sheetData>
    <row r="1" spans="1:5" x14ac:dyDescent="0.4">
      <c r="A1" s="104" t="s">
        <v>72</v>
      </c>
      <c r="B1" s="118"/>
      <c r="C1" s="119"/>
      <c r="D1" s="119"/>
      <c r="E1" s="101"/>
    </row>
    <row r="2" spans="1:5" ht="13.5" x14ac:dyDescent="0.4">
      <c r="A2" s="101" t="s">
        <v>252</v>
      </c>
      <c r="B2" s="118" t="s">
        <v>265</v>
      </c>
      <c r="C2" s="119" t="s">
        <v>253</v>
      </c>
      <c r="D2" s="141" t="s">
        <v>266</v>
      </c>
      <c r="E2" s="101"/>
    </row>
    <row r="3" spans="1:5" x14ac:dyDescent="0.4">
      <c r="A3" s="101" t="s">
        <v>74</v>
      </c>
      <c r="B3" s="132">
        <v>44561</v>
      </c>
      <c r="C3" s="4" t="s">
        <v>75</v>
      </c>
      <c r="D3" s="131">
        <v>4.74</v>
      </c>
    </row>
    <row r="4" spans="1:5" x14ac:dyDescent="0.4">
      <c r="A4" s="1" t="s">
        <v>207</v>
      </c>
      <c r="B4" s="39">
        <f>YEAR(B3)</f>
        <v>2021</v>
      </c>
      <c r="C4" s="4" t="s">
        <v>90</v>
      </c>
      <c r="D4" s="131">
        <v>869375282</v>
      </c>
      <c r="E4" s="101"/>
    </row>
    <row r="6" spans="1:5" x14ac:dyDescent="0.4">
      <c r="A6" s="1" t="s">
        <v>230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B059-1918-4DC5-83C7-C3CC9F82C73B}">
  <dimension ref="A1:H23"/>
  <sheetViews>
    <sheetView zoomScaleNormal="100" workbookViewId="0">
      <pane xSplit="2" ySplit="2" topLeftCell="C3" activePane="bottomRight" state="frozen"/>
      <selection activeCell="B10" sqref="B10"/>
      <selection pane="topRight" activeCell="B10" sqref="B10"/>
      <selection pane="bottomLeft" activeCell="B10" sqref="B10"/>
      <selection pane="bottomRight" activeCell="C2" sqref="C2:H2"/>
    </sheetView>
  </sheetViews>
  <sheetFormatPr defaultColWidth="9" defaultRowHeight="13.15" x14ac:dyDescent="0.4"/>
  <cols>
    <col min="1" max="1" width="9.53125" style="101" customWidth="1"/>
    <col min="2" max="2" width="35" style="101" customWidth="1"/>
    <col min="3" max="8" width="14.3984375" style="101" customWidth="1"/>
    <col min="9" max="16384" width="9" style="101"/>
  </cols>
  <sheetData>
    <row r="1" spans="1:8" x14ac:dyDescent="0.4">
      <c r="C1" s="100" t="s">
        <v>212</v>
      </c>
      <c r="D1" s="100" t="s">
        <v>211</v>
      </c>
      <c r="E1" s="100" t="s">
        <v>210</v>
      </c>
      <c r="F1" s="100" t="s">
        <v>209</v>
      </c>
      <c r="G1" s="100" t="s">
        <v>208</v>
      </c>
      <c r="H1" s="100" t="s">
        <v>207</v>
      </c>
    </row>
    <row r="2" spans="1:8" x14ac:dyDescent="0.4">
      <c r="B2" s="101" t="s">
        <v>228</v>
      </c>
      <c r="C2" s="101">
        <v>2016</v>
      </c>
      <c r="D2" s="101">
        <v>2017</v>
      </c>
      <c r="E2" s="101">
        <v>2018</v>
      </c>
      <c r="F2" s="101">
        <v>2019</v>
      </c>
      <c r="G2" s="101">
        <v>2020</v>
      </c>
      <c r="H2" s="101">
        <v>2021</v>
      </c>
    </row>
    <row r="3" spans="1:8" x14ac:dyDescent="0.4">
      <c r="A3" s="101" t="s">
        <v>129</v>
      </c>
      <c r="B3" s="42" t="s">
        <v>130</v>
      </c>
      <c r="C3" s="130">
        <v>1592444463.29</v>
      </c>
      <c r="D3" s="130">
        <v>1325526265.96</v>
      </c>
      <c r="E3" s="130">
        <v>2279995367.3299999</v>
      </c>
      <c r="F3" s="130">
        <v>2552524316.3400002</v>
      </c>
      <c r="G3" s="130">
        <v>2264356387.0999999</v>
      </c>
      <c r="H3" s="130">
        <v>1463437485.76</v>
      </c>
    </row>
    <row r="4" spans="1:8" x14ac:dyDescent="0.4">
      <c r="A4" s="101" t="s">
        <v>131</v>
      </c>
      <c r="B4" s="42" t="s">
        <v>125</v>
      </c>
      <c r="C4" s="130"/>
      <c r="D4" s="130"/>
      <c r="E4" s="130"/>
      <c r="F4" s="130">
        <v>13461708.039999999</v>
      </c>
      <c r="G4" s="130"/>
      <c r="H4" s="130"/>
    </row>
    <row r="5" spans="1:8" x14ac:dyDescent="0.4">
      <c r="A5" s="101" t="s">
        <v>132</v>
      </c>
      <c r="B5" s="42" t="s">
        <v>126</v>
      </c>
      <c r="C5" s="130"/>
      <c r="D5" s="130"/>
      <c r="E5" s="130"/>
      <c r="F5" s="130"/>
      <c r="G5" s="130"/>
      <c r="H5" s="130"/>
    </row>
    <row r="6" spans="1:8" x14ac:dyDescent="0.4">
      <c r="A6" s="101" t="s">
        <v>133</v>
      </c>
      <c r="B6" s="102" t="s">
        <v>127</v>
      </c>
      <c r="C6" s="130">
        <v>419510782.62</v>
      </c>
      <c r="D6" s="130">
        <v>1834908848.46</v>
      </c>
      <c r="E6" s="130">
        <v>313428496.25</v>
      </c>
      <c r="F6" s="130">
        <v>65026760.840000004</v>
      </c>
      <c r="G6" s="130">
        <v>123134166.37</v>
      </c>
      <c r="H6" s="130">
        <v>374573851.13999999</v>
      </c>
    </row>
    <row r="7" spans="1:8" x14ac:dyDescent="0.4">
      <c r="A7" s="101" t="s">
        <v>134</v>
      </c>
      <c r="B7" s="102" t="s">
        <v>128</v>
      </c>
      <c r="C7" s="130">
        <v>3689133424.9699998</v>
      </c>
      <c r="D7" s="130">
        <v>4845273541.8599997</v>
      </c>
      <c r="E7" s="130">
        <v>7462651840.5200005</v>
      </c>
      <c r="F7" s="130">
        <v>6793411115.0299997</v>
      </c>
      <c r="G7" s="130">
        <v>6238879961.4099998</v>
      </c>
      <c r="H7" s="130">
        <v>4521905352.3999996</v>
      </c>
    </row>
    <row r="8" spans="1:8" x14ac:dyDescent="0.4">
      <c r="A8" s="101" t="s">
        <v>136</v>
      </c>
      <c r="B8" s="103" t="s">
        <v>135</v>
      </c>
      <c r="C8" s="130">
        <v>5198580037.1700001</v>
      </c>
      <c r="D8" s="130">
        <v>7439201335.4799995</v>
      </c>
      <c r="E8" s="130">
        <v>7113582276.2799997</v>
      </c>
      <c r="F8" s="130">
        <v>2908665689.5700002</v>
      </c>
      <c r="G8" s="130">
        <v>1914047075.1600001</v>
      </c>
      <c r="H8" s="130">
        <v>1866254125.96</v>
      </c>
    </row>
    <row r="9" spans="1:8" x14ac:dyDescent="0.4">
      <c r="A9" s="101" t="s">
        <v>137</v>
      </c>
      <c r="B9" s="104" t="s">
        <v>104</v>
      </c>
      <c r="C9" s="130">
        <v>11960647187.27</v>
      </c>
      <c r="D9" s="130">
        <v>17454797991</v>
      </c>
      <c r="E9" s="130">
        <v>19910884470.490002</v>
      </c>
      <c r="F9" s="130">
        <v>25370869614.66</v>
      </c>
      <c r="G9" s="130">
        <v>24328693277.009998</v>
      </c>
      <c r="H9" s="130">
        <v>22146279452.330002</v>
      </c>
    </row>
    <row r="10" spans="1:8" x14ac:dyDescent="0.4">
      <c r="A10" s="101" t="s">
        <v>139</v>
      </c>
      <c r="B10" s="105" t="s">
        <v>138</v>
      </c>
      <c r="C10" s="130">
        <v>1968065094.45</v>
      </c>
      <c r="D10" s="130">
        <v>1836749735.1300001</v>
      </c>
      <c r="E10" s="130">
        <v>1729313505.5</v>
      </c>
      <c r="F10" s="130">
        <v>1421655168.5599999</v>
      </c>
      <c r="G10" s="130">
        <v>1304304866.01</v>
      </c>
      <c r="H10" s="130">
        <v>1236857613.1800001</v>
      </c>
    </row>
    <row r="11" spans="1:8" x14ac:dyDescent="0.4">
      <c r="A11" s="101" t="s">
        <v>140</v>
      </c>
      <c r="B11" s="106" t="s">
        <v>141</v>
      </c>
      <c r="C11" s="130">
        <v>368538161.13999999</v>
      </c>
      <c r="D11" s="130">
        <v>271004750.60000002</v>
      </c>
      <c r="E11" s="130">
        <v>251119005.63</v>
      </c>
      <c r="F11" s="130">
        <v>214823270.86000001</v>
      </c>
      <c r="G11" s="130">
        <v>195189797.53</v>
      </c>
      <c r="H11" s="130">
        <v>188352269.43000001</v>
      </c>
    </row>
    <row r="12" spans="1:8" x14ac:dyDescent="0.4">
      <c r="A12" s="101" t="s">
        <v>142</v>
      </c>
      <c r="B12" s="104" t="s">
        <v>105</v>
      </c>
      <c r="C12" s="130">
        <v>5044188362.5799999</v>
      </c>
      <c r="D12" s="130">
        <v>5131919452.96</v>
      </c>
      <c r="E12" s="130">
        <v>5953867374.79</v>
      </c>
      <c r="F12" s="130">
        <v>6455243415.1999998</v>
      </c>
      <c r="G12" s="130">
        <v>6059202057.6899996</v>
      </c>
      <c r="H12" s="130">
        <v>6326075965.6000004</v>
      </c>
    </row>
    <row r="13" spans="1:8" x14ac:dyDescent="0.4">
      <c r="A13" s="101" t="s">
        <v>143</v>
      </c>
      <c r="B13" s="104" t="s">
        <v>106</v>
      </c>
      <c r="C13" s="130">
        <v>17004835549.85</v>
      </c>
      <c r="D13" s="130">
        <v>22586717443.959999</v>
      </c>
      <c r="E13" s="130">
        <v>25864751845.279999</v>
      </c>
      <c r="F13" s="130">
        <v>31826113029.860001</v>
      </c>
      <c r="G13" s="130">
        <v>30387895334.700001</v>
      </c>
      <c r="H13" s="130">
        <v>28472355417.93</v>
      </c>
    </row>
    <row r="14" spans="1:8" x14ac:dyDescent="0.4">
      <c r="A14" s="101" t="s">
        <v>145</v>
      </c>
      <c r="B14" s="107" t="s">
        <v>144</v>
      </c>
      <c r="C14" s="130">
        <v>2398323070.3099999</v>
      </c>
      <c r="D14" s="130">
        <v>3019518316.4699998</v>
      </c>
      <c r="E14" s="130">
        <v>6847020000</v>
      </c>
      <c r="F14" s="130">
        <v>6269244000</v>
      </c>
      <c r="G14" s="130">
        <v>5305783711.4899998</v>
      </c>
      <c r="H14" s="130">
        <v>4694800000</v>
      </c>
    </row>
    <row r="15" spans="1:8" x14ac:dyDescent="0.4">
      <c r="A15" s="101" t="s">
        <v>147</v>
      </c>
      <c r="B15" s="108" t="s">
        <v>146</v>
      </c>
      <c r="C15" s="130">
        <v>740271098.83000004</v>
      </c>
      <c r="D15" s="130">
        <v>789655145.23000002</v>
      </c>
      <c r="E15" s="130">
        <v>1764986183.28</v>
      </c>
      <c r="F15" s="130">
        <v>1068452397.4299999</v>
      </c>
      <c r="G15" s="130">
        <v>1121033540.1900001</v>
      </c>
      <c r="H15" s="130">
        <v>370665755.08999997</v>
      </c>
    </row>
    <row r="16" spans="1:8" x14ac:dyDescent="0.4">
      <c r="A16" s="101" t="s">
        <v>149</v>
      </c>
      <c r="B16" s="108" t="s">
        <v>148</v>
      </c>
      <c r="C16" s="130">
        <v>4274397790.29</v>
      </c>
      <c r="D16" s="130">
        <v>6742609154.9899998</v>
      </c>
      <c r="E16" s="130">
        <v>5974536987.6400003</v>
      </c>
      <c r="F16" s="130">
        <v>9591968015.1000004</v>
      </c>
      <c r="G16" s="130">
        <v>8704875319.5499992</v>
      </c>
      <c r="H16" s="130">
        <v>9229870395.7399998</v>
      </c>
    </row>
    <row r="17" spans="1:8" x14ac:dyDescent="0.4">
      <c r="A17" s="101" t="s">
        <v>150</v>
      </c>
      <c r="B17" s="104" t="s">
        <v>107</v>
      </c>
      <c r="C17" s="130">
        <v>10159177784.4</v>
      </c>
      <c r="D17" s="130">
        <v>15712893495.969999</v>
      </c>
      <c r="E17" s="130">
        <v>20106942241.259998</v>
      </c>
      <c r="F17" s="130">
        <v>22634927832.02</v>
      </c>
      <c r="G17" s="130">
        <v>22345065383.07</v>
      </c>
      <c r="H17" s="130">
        <v>22473238698.200001</v>
      </c>
    </row>
    <row r="18" spans="1:8" x14ac:dyDescent="0.4">
      <c r="A18" s="101" t="s">
        <v>151</v>
      </c>
      <c r="B18" s="109" t="s">
        <v>111</v>
      </c>
      <c r="C18" s="130">
        <v>2045694808.6900001</v>
      </c>
      <c r="D18" s="130">
        <v>2519423945.1999998</v>
      </c>
      <c r="E18" s="130">
        <v>665949968.61000001</v>
      </c>
      <c r="F18" s="130">
        <v>4629826631.8100004</v>
      </c>
      <c r="G18" s="130">
        <v>4916500000</v>
      </c>
      <c r="H18" s="130">
        <v>3730500000</v>
      </c>
    </row>
    <row r="19" spans="1:8" x14ac:dyDescent="0.4">
      <c r="A19" s="101" t="s">
        <v>152</v>
      </c>
      <c r="B19" s="104" t="s">
        <v>108</v>
      </c>
      <c r="C19" s="130">
        <v>4065031402.52</v>
      </c>
      <c r="D19" s="130">
        <v>3713995604.9499998</v>
      </c>
      <c r="E19" s="130">
        <v>1400523955.73</v>
      </c>
      <c r="F19" s="130">
        <v>4692188754.9200001</v>
      </c>
      <c r="G19" s="130">
        <v>4956352844.6999998</v>
      </c>
      <c r="H19" s="130">
        <v>3761856152.4899998</v>
      </c>
    </row>
    <row r="20" spans="1:8" x14ac:dyDescent="0.4">
      <c r="A20" s="101" t="s">
        <v>153</v>
      </c>
      <c r="B20" s="104" t="s">
        <v>109</v>
      </c>
      <c r="C20" s="130">
        <v>14224209186.92</v>
      </c>
      <c r="D20" s="130">
        <v>19426889100.919998</v>
      </c>
      <c r="E20" s="130">
        <v>21507466196.990002</v>
      </c>
      <c r="F20" s="130">
        <v>27327116586.939999</v>
      </c>
      <c r="G20" s="130">
        <v>27301418227.77</v>
      </c>
      <c r="H20" s="130">
        <v>26235094850.689999</v>
      </c>
    </row>
    <row r="21" spans="1:8" x14ac:dyDescent="0.4">
      <c r="A21" s="101" t="s">
        <v>155</v>
      </c>
      <c r="B21" s="43" t="s">
        <v>154</v>
      </c>
      <c r="C21" s="130">
        <v>263536430.66999999</v>
      </c>
      <c r="D21" s="130">
        <v>473044707.58999997</v>
      </c>
      <c r="E21" s="130">
        <v>547647454.12</v>
      </c>
      <c r="F21" s="130">
        <v>525309893.41000003</v>
      </c>
      <c r="G21" s="130">
        <v>-634207410.25</v>
      </c>
      <c r="H21" s="130">
        <v>-1327527171.3699999</v>
      </c>
    </row>
    <row r="22" spans="1:8" x14ac:dyDescent="0.4">
      <c r="A22" s="101" t="s">
        <v>156</v>
      </c>
      <c r="B22" s="110" t="s">
        <v>113</v>
      </c>
      <c r="C22" s="130">
        <v>295100716.60000002</v>
      </c>
      <c r="D22" s="130">
        <v>447738325.73000002</v>
      </c>
      <c r="E22" s="130">
        <v>559872920.25999999</v>
      </c>
      <c r="F22" s="130">
        <v>829770253.74000001</v>
      </c>
      <c r="G22" s="130">
        <v>583369127.32000005</v>
      </c>
      <c r="H22" s="130">
        <v>426965552.02999997</v>
      </c>
    </row>
    <row r="23" spans="1:8" x14ac:dyDescent="0.4">
      <c r="A23" s="101" t="s">
        <v>157</v>
      </c>
      <c r="B23" s="104" t="s">
        <v>110</v>
      </c>
      <c r="C23" s="130">
        <v>2780626362.9299998</v>
      </c>
      <c r="D23" s="130">
        <v>3159828343.04</v>
      </c>
      <c r="E23" s="130">
        <v>4357285648.29</v>
      </c>
      <c r="F23" s="130">
        <v>4498996442.9200001</v>
      </c>
      <c r="G23" s="130">
        <v>3086477106.9299998</v>
      </c>
      <c r="H23" s="130">
        <v>2237260567.2399998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6D35-2F84-4502-824F-0008DB232A69}">
  <dimension ref="A1:H23"/>
  <sheetViews>
    <sheetView workbookViewId="0">
      <selection activeCell="B1" sqref="B1"/>
    </sheetView>
  </sheetViews>
  <sheetFormatPr defaultColWidth="8.73046875" defaultRowHeight="13.15" x14ac:dyDescent="0.4"/>
  <cols>
    <col min="1" max="1" width="9.33203125" style="101" customWidth="1"/>
    <col min="2" max="2" width="43.86328125" style="101" customWidth="1"/>
    <col min="3" max="3" width="11.3984375" style="101" customWidth="1"/>
    <col min="4" max="4" width="11.9296875" style="101" customWidth="1"/>
    <col min="5" max="5" width="12.265625" style="101" customWidth="1"/>
    <col min="6" max="6" width="12.33203125" style="101" customWidth="1"/>
    <col min="7" max="7" width="12.796875" style="101" customWidth="1"/>
    <col min="8" max="8" width="12.9296875" style="101" customWidth="1"/>
    <col min="9" max="16384" width="8.73046875" style="101"/>
  </cols>
  <sheetData>
    <row r="1" spans="1:8" x14ac:dyDescent="0.4">
      <c r="C1" s="100" t="s">
        <v>212</v>
      </c>
      <c r="D1" s="100" t="s">
        <v>211</v>
      </c>
      <c r="E1" s="100" t="s">
        <v>210</v>
      </c>
      <c r="F1" s="100" t="s">
        <v>209</v>
      </c>
      <c r="G1" s="100" t="s">
        <v>208</v>
      </c>
      <c r="H1" s="100" t="s">
        <v>207</v>
      </c>
    </row>
    <row r="2" spans="1:8" x14ac:dyDescent="0.4">
      <c r="B2" s="101" t="s">
        <v>229</v>
      </c>
      <c r="C2" s="101">
        <v>2016</v>
      </c>
      <c r="D2" s="101">
        <v>2017</v>
      </c>
      <c r="E2" s="101">
        <v>2018</v>
      </c>
      <c r="F2" s="101">
        <v>2019</v>
      </c>
      <c r="G2" s="101">
        <v>2020</v>
      </c>
      <c r="H2" s="101">
        <v>2021</v>
      </c>
    </row>
    <row r="3" spans="1:8" x14ac:dyDescent="0.4">
      <c r="A3" s="101" t="s">
        <v>159</v>
      </c>
      <c r="B3" s="101" t="s">
        <v>158</v>
      </c>
      <c r="C3" s="130">
        <v>1195145239.0599999</v>
      </c>
      <c r="D3" s="130">
        <v>10403683552.02</v>
      </c>
      <c r="E3" s="130">
        <v>7700163469.1099997</v>
      </c>
      <c r="F3" s="130">
        <v>10779197063.450001</v>
      </c>
      <c r="G3" s="130">
        <v>7712473560.2299995</v>
      </c>
      <c r="H3" s="130">
        <v>6806791172.1499996</v>
      </c>
    </row>
    <row r="4" spans="1:8" x14ac:dyDescent="0.4">
      <c r="A4" s="101" t="s">
        <v>161</v>
      </c>
      <c r="B4" s="111" t="s">
        <v>160</v>
      </c>
      <c r="C4" s="130">
        <v>979838375.11000001</v>
      </c>
      <c r="D4" s="130">
        <v>9281399493.1000004</v>
      </c>
      <c r="E4" s="130">
        <v>6558209775.9300003</v>
      </c>
      <c r="F4" s="130">
        <v>9280060579.7199993</v>
      </c>
      <c r="G4" s="130">
        <v>7689615630.4300003</v>
      </c>
      <c r="H4" s="130">
        <v>5670633675.9799995</v>
      </c>
    </row>
    <row r="5" spans="1:8" x14ac:dyDescent="0.4">
      <c r="A5" s="101" t="s">
        <v>165</v>
      </c>
      <c r="B5" s="112" t="s">
        <v>162</v>
      </c>
      <c r="C5" s="130">
        <v>20190136.079999998</v>
      </c>
      <c r="D5" s="130">
        <v>36205191.82</v>
      </c>
      <c r="E5" s="130">
        <v>26398820.23</v>
      </c>
      <c r="F5" s="130">
        <v>31703523.359999999</v>
      </c>
      <c r="G5" s="130">
        <v>31857634.120000001</v>
      </c>
      <c r="H5" s="130">
        <v>30964086.73</v>
      </c>
    </row>
    <row r="6" spans="1:8" x14ac:dyDescent="0.4">
      <c r="A6" s="101" t="s">
        <v>164</v>
      </c>
      <c r="B6" s="112" t="s">
        <v>163</v>
      </c>
      <c r="C6" s="130">
        <v>39772376.07</v>
      </c>
      <c r="D6" s="130">
        <v>89749951.890000001</v>
      </c>
      <c r="E6" s="130">
        <v>57561291.119999997</v>
      </c>
      <c r="F6" s="130">
        <v>67563387.939999998</v>
      </c>
      <c r="G6" s="130">
        <v>44459026.090000004</v>
      </c>
      <c r="H6" s="130">
        <v>45204393.68</v>
      </c>
    </row>
    <row r="7" spans="1:8" x14ac:dyDescent="0.4">
      <c r="A7" s="101" t="s">
        <v>167</v>
      </c>
      <c r="B7" s="112" t="s">
        <v>166</v>
      </c>
      <c r="C7" s="130">
        <v>232825511.12</v>
      </c>
      <c r="D7" s="130">
        <v>321377260.93000001</v>
      </c>
      <c r="E7" s="130">
        <v>276204029.08999997</v>
      </c>
      <c r="F7" s="130">
        <v>256510673.21000001</v>
      </c>
      <c r="G7" s="130">
        <v>227017372.21000001</v>
      </c>
      <c r="H7" s="130">
        <v>197147007.75</v>
      </c>
    </row>
    <row r="8" spans="1:8" x14ac:dyDescent="0.4">
      <c r="A8" s="101" t="s">
        <v>169</v>
      </c>
      <c r="B8" s="112" t="s">
        <v>168</v>
      </c>
      <c r="C8" s="130"/>
      <c r="D8" s="130"/>
      <c r="E8" s="130">
        <v>80886177.75</v>
      </c>
      <c r="F8" s="130">
        <v>100327316.06</v>
      </c>
      <c r="G8" s="130">
        <v>284922507.68000001</v>
      </c>
      <c r="H8" s="130">
        <v>242771382.91</v>
      </c>
    </row>
    <row r="9" spans="1:8" x14ac:dyDescent="0.4">
      <c r="A9" s="101" t="s">
        <v>177</v>
      </c>
      <c r="B9" s="51" t="s">
        <v>176</v>
      </c>
      <c r="C9" s="130">
        <v>-1948003.43</v>
      </c>
      <c r="D9" s="130">
        <v>134078631.69</v>
      </c>
      <c r="E9" s="130">
        <v>88534509.310000002</v>
      </c>
      <c r="F9" s="130">
        <v>-132353456.19</v>
      </c>
      <c r="G9" s="130">
        <v>78508508.299999997</v>
      </c>
      <c r="H9" s="130">
        <v>79056432.379999995</v>
      </c>
    </row>
    <row r="10" spans="1:8" x14ac:dyDescent="0.4">
      <c r="A10" s="101" t="s">
        <v>180</v>
      </c>
      <c r="B10" s="113" t="s">
        <v>118</v>
      </c>
      <c r="C10" s="130">
        <v>97519458.939999998</v>
      </c>
      <c r="D10" s="130">
        <v>101448757.86</v>
      </c>
      <c r="E10" s="130">
        <v>255069344.37</v>
      </c>
      <c r="F10" s="130">
        <v>-30526831.57</v>
      </c>
      <c r="G10" s="130">
        <v>-257162256.86000001</v>
      </c>
      <c r="H10" s="130">
        <v>-359890216.58999997</v>
      </c>
    </row>
    <row r="11" spans="1:8" x14ac:dyDescent="0.4">
      <c r="A11" s="101" t="s">
        <v>181</v>
      </c>
      <c r="B11" s="113" t="s">
        <v>119</v>
      </c>
      <c r="C11" s="130"/>
      <c r="D11" s="130"/>
      <c r="E11" s="130"/>
      <c r="F11" s="130">
        <v>-181332978.47999999</v>
      </c>
      <c r="G11" s="130">
        <v>-452795436.72000003</v>
      </c>
      <c r="H11" s="130">
        <v>-725444329.13</v>
      </c>
    </row>
    <row r="12" spans="1:8" x14ac:dyDescent="0.4">
      <c r="A12" s="101" t="s">
        <v>179</v>
      </c>
      <c r="B12" s="114" t="s">
        <v>178</v>
      </c>
      <c r="C12" s="130"/>
      <c r="D12" s="130"/>
      <c r="E12" s="130"/>
      <c r="F12" s="130">
        <v>0</v>
      </c>
      <c r="G12" s="130"/>
      <c r="H12" s="130"/>
    </row>
    <row r="13" spans="1:8" x14ac:dyDescent="0.4">
      <c r="A13" s="101" t="s">
        <v>183</v>
      </c>
      <c r="B13" s="115" t="s">
        <v>182</v>
      </c>
      <c r="C13" s="130"/>
      <c r="D13" s="130">
        <v>3946601.04</v>
      </c>
      <c r="E13" s="130">
        <v>-1576500.09</v>
      </c>
      <c r="F13" s="130">
        <v>1439775.98</v>
      </c>
      <c r="G13" s="130">
        <v>19545450.719999999</v>
      </c>
      <c r="H13" s="130">
        <v>1815179.84</v>
      </c>
    </row>
    <row r="14" spans="1:8" x14ac:dyDescent="0.4">
      <c r="A14" s="101" t="s">
        <v>173</v>
      </c>
      <c r="B14" s="116" t="s">
        <v>172</v>
      </c>
      <c r="C14" s="130">
        <v>183091352.19999999</v>
      </c>
      <c r="D14" s="130">
        <v>446758256.60000002</v>
      </c>
      <c r="E14" s="130">
        <v>332520992.73000002</v>
      </c>
      <c r="F14" s="130">
        <v>501392544.27999997</v>
      </c>
      <c r="G14" s="130">
        <v>512150730.70999998</v>
      </c>
      <c r="H14" s="130">
        <v>484084669.25999999</v>
      </c>
    </row>
    <row r="15" spans="1:8" x14ac:dyDescent="0.4">
      <c r="A15" s="101" t="s">
        <v>174</v>
      </c>
      <c r="B15" s="101" t="s">
        <v>170</v>
      </c>
      <c r="C15" s="130"/>
      <c r="D15" s="130"/>
      <c r="E15" s="130">
        <v>301021712.45999998</v>
      </c>
      <c r="F15" s="130">
        <v>489743732.30000001</v>
      </c>
      <c r="G15" s="130">
        <v>512323581.16000003</v>
      </c>
      <c r="H15" s="130">
        <v>486834307.63999999</v>
      </c>
    </row>
    <row r="16" spans="1:8" x14ac:dyDescent="0.4">
      <c r="A16" s="101" t="s">
        <v>175</v>
      </c>
      <c r="B16" s="101" t="s">
        <v>171</v>
      </c>
      <c r="C16" s="130"/>
      <c r="D16" s="130"/>
      <c r="E16" s="130">
        <v>2782474.2400000002</v>
      </c>
      <c r="F16" s="130">
        <v>29324587.309999999</v>
      </c>
      <c r="G16" s="130">
        <v>22173470.68</v>
      </c>
      <c r="H16" s="130">
        <v>10913197.109999999</v>
      </c>
    </row>
    <row r="17" spans="1:8" x14ac:dyDescent="0.4">
      <c r="A17" s="101" t="s">
        <v>185</v>
      </c>
      <c r="B17" s="104" t="s">
        <v>184</v>
      </c>
      <c r="C17" s="130">
        <v>-360039973.88999999</v>
      </c>
      <c r="D17" s="130">
        <v>275913083.79000002</v>
      </c>
      <c r="E17" s="130">
        <v>210409820.40000001</v>
      </c>
      <c r="F17" s="130">
        <v>213155501.00999999</v>
      </c>
      <c r="G17" s="130">
        <v>-1670409307.9100001</v>
      </c>
      <c r="H17" s="130">
        <v>-855502413.98000002</v>
      </c>
    </row>
    <row r="18" spans="1:8" x14ac:dyDescent="0.4">
      <c r="A18" s="101" t="s">
        <v>188</v>
      </c>
      <c r="B18" s="117" t="s">
        <v>186</v>
      </c>
      <c r="C18" s="130">
        <v>24882165.530000001</v>
      </c>
      <c r="D18" s="130">
        <v>6646149.79</v>
      </c>
      <c r="E18" s="130">
        <v>3367168.84</v>
      </c>
      <c r="F18" s="130">
        <v>2548028.2000000002</v>
      </c>
      <c r="G18" s="130">
        <v>3743923.45</v>
      </c>
      <c r="H18" s="130">
        <v>4236590.7699999996</v>
      </c>
    </row>
    <row r="19" spans="1:8" x14ac:dyDescent="0.4">
      <c r="A19" s="101" t="s">
        <v>189</v>
      </c>
      <c r="B19" s="117" t="s">
        <v>187</v>
      </c>
      <c r="C19" s="130">
        <v>8198986.7800000003</v>
      </c>
      <c r="D19" s="130">
        <v>15357876.5</v>
      </c>
      <c r="E19" s="130">
        <v>12274753.91</v>
      </c>
      <c r="F19" s="130">
        <v>39338764.530000001</v>
      </c>
      <c r="G19" s="130">
        <v>8174686.6699999999</v>
      </c>
      <c r="H19" s="130">
        <v>6716739.25</v>
      </c>
    </row>
    <row r="20" spans="1:8" x14ac:dyDescent="0.4">
      <c r="A20" s="101" t="s">
        <v>192</v>
      </c>
      <c r="B20" s="104" t="s">
        <v>190</v>
      </c>
      <c r="C20" s="130">
        <v>-343356795.13999999</v>
      </c>
      <c r="D20" s="130">
        <v>267201357.08000001</v>
      </c>
      <c r="E20" s="130">
        <v>201502235.33000001</v>
      </c>
      <c r="F20" s="130">
        <v>176364764.68000001</v>
      </c>
      <c r="G20" s="130">
        <v>-1674840071.1300001</v>
      </c>
      <c r="H20" s="130">
        <v>-857982562.46000004</v>
      </c>
    </row>
    <row r="21" spans="1:8" x14ac:dyDescent="0.4">
      <c r="A21" s="101" t="s">
        <v>193</v>
      </c>
      <c r="B21" s="101" t="s">
        <v>191</v>
      </c>
      <c r="C21" s="130">
        <v>-37460936.560000002</v>
      </c>
      <c r="D21" s="130">
        <v>-53315271.990000002</v>
      </c>
      <c r="E21" s="130">
        <v>16014110.24</v>
      </c>
      <c r="F21" s="130">
        <v>37524519.909999996</v>
      </c>
      <c r="G21" s="130">
        <v>-272919580.38999999</v>
      </c>
      <c r="H21" s="130">
        <v>-34739081.530000001</v>
      </c>
    </row>
    <row r="22" spans="1:8" x14ac:dyDescent="0.4">
      <c r="A22" s="101" t="s">
        <v>194</v>
      </c>
      <c r="B22" s="104" t="s">
        <v>103</v>
      </c>
      <c r="C22" s="130">
        <v>-305895858.57999998</v>
      </c>
      <c r="D22" s="130">
        <v>320516629.06999999</v>
      </c>
      <c r="E22" s="130">
        <v>185488125.09</v>
      </c>
      <c r="F22" s="130">
        <v>138840244.77000001</v>
      </c>
      <c r="G22" s="130">
        <v>-1401920490.74</v>
      </c>
      <c r="H22" s="130">
        <v>-823243480.92999995</v>
      </c>
    </row>
    <row r="23" spans="1:8" x14ac:dyDescent="0.4">
      <c r="A23" s="101" t="s">
        <v>197</v>
      </c>
      <c r="B23" s="101" t="s">
        <v>195</v>
      </c>
      <c r="C23" s="130">
        <v>-299710879.83999997</v>
      </c>
      <c r="D23" s="130">
        <v>225145578.55000001</v>
      </c>
      <c r="E23" s="130">
        <v>74602746.530000001</v>
      </c>
      <c r="F23" s="130">
        <v>42391860.990000002</v>
      </c>
      <c r="G23" s="130">
        <v>-1159517303.6600001</v>
      </c>
      <c r="H23" s="130">
        <v>-693319761.12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B1CB-9BD7-4F6E-A5DF-CA19CEB750FB}">
  <sheetPr>
    <tabColor rgb="FFFF0000"/>
  </sheetPr>
  <dimension ref="A1:M42"/>
  <sheetViews>
    <sheetView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36" sqref="C36"/>
    </sheetView>
  </sheetViews>
  <sheetFormatPr defaultColWidth="8.796875" defaultRowHeight="13.15" x14ac:dyDescent="0.4"/>
  <cols>
    <col min="1" max="1" width="32.73046875" style="40" customWidth="1"/>
    <col min="2" max="7" width="14.53125" style="60" customWidth="1"/>
    <col min="8" max="12" width="14.53125" style="3" customWidth="1"/>
    <col min="13" max="16384" width="8.796875" style="1"/>
  </cols>
  <sheetData>
    <row r="1" spans="1:13" x14ac:dyDescent="0.4">
      <c r="B1" s="100" t="s">
        <v>212</v>
      </c>
      <c r="C1" s="100" t="s">
        <v>211</v>
      </c>
      <c r="D1" s="100" t="s">
        <v>210</v>
      </c>
      <c r="E1" s="100" t="s">
        <v>209</v>
      </c>
      <c r="F1" s="100" t="s">
        <v>208</v>
      </c>
      <c r="G1" s="100" t="s">
        <v>207</v>
      </c>
      <c r="H1" s="99" t="s">
        <v>213</v>
      </c>
      <c r="I1" s="99" t="s">
        <v>214</v>
      </c>
      <c r="J1" s="99" t="s">
        <v>215</v>
      </c>
      <c r="K1" s="99" t="s">
        <v>216</v>
      </c>
      <c r="L1" s="99" t="s">
        <v>217</v>
      </c>
    </row>
    <row r="2" spans="1:13" x14ac:dyDescent="0.4">
      <c r="A2" s="2" t="s">
        <v>18</v>
      </c>
      <c r="B2" s="140">
        <v>2016</v>
      </c>
      <c r="C2" s="101">
        <v>2017</v>
      </c>
      <c r="D2" s="101">
        <v>2018</v>
      </c>
      <c r="E2" s="101">
        <v>2019</v>
      </c>
      <c r="F2" s="101">
        <v>2020</v>
      </c>
      <c r="G2" s="101">
        <v>2021</v>
      </c>
      <c r="H2" s="101">
        <v>2022</v>
      </c>
      <c r="I2" s="101">
        <v>2023</v>
      </c>
      <c r="J2" s="101">
        <v>2024</v>
      </c>
      <c r="K2" s="101">
        <v>2025</v>
      </c>
      <c r="L2" s="101">
        <v>2026</v>
      </c>
      <c r="M2" s="101"/>
    </row>
    <row r="3" spans="1:13" x14ac:dyDescent="0.4">
      <c r="A3" s="2" t="s">
        <v>29</v>
      </c>
      <c r="B3" s="52">
        <f>SUM(BS_ORIG!C3:C5)</f>
        <v>1592444463.29</v>
      </c>
      <c r="C3" s="52">
        <f>SUM(BS_ORIG!D3:D5)</f>
        <v>1325526265.96</v>
      </c>
      <c r="D3" s="52">
        <f>SUM(BS_ORIG!E3:E5)</f>
        <v>2279995367.3299999</v>
      </c>
      <c r="E3" s="52">
        <f>SUM(BS_ORIG!F3:F5)</f>
        <v>2565986024.3800001</v>
      </c>
      <c r="F3" s="52">
        <f>SUM(BS_ORIG!G3:G5)</f>
        <v>2264356387.0999999</v>
      </c>
      <c r="G3" s="52">
        <f>SUM(BS_ORIG!H3:H5)</f>
        <v>1463437485.76</v>
      </c>
      <c r="H3" s="133">
        <f ca="1">H29-H12-SUM(H4:H6)</f>
        <v>376859372.92791748</v>
      </c>
      <c r="I3" s="133">
        <f t="shared" ref="I3:L3" ca="1" si="0">I29-I12-SUM(I4:I6)</f>
        <v>-449617408.03805351</v>
      </c>
      <c r="J3" s="133">
        <f t="shared" ca="1" si="0"/>
        <v>-1052907407.6680069</v>
      </c>
      <c r="K3" s="133">
        <f t="shared" ca="1" si="0"/>
        <v>-1864313442.4909401</v>
      </c>
      <c r="L3" s="133">
        <f t="shared" ca="1" si="0"/>
        <v>-2622996415.4127369</v>
      </c>
    </row>
    <row r="4" spans="1:13" x14ac:dyDescent="0.4">
      <c r="A4" s="2" t="s">
        <v>30</v>
      </c>
      <c r="B4" s="52">
        <f>SUM(BS_ORIG!C6:C7)</f>
        <v>4108644207.5899997</v>
      </c>
      <c r="C4" s="52">
        <f>SUM(BS_ORIG!D6:D7)</f>
        <v>6680182390.3199997</v>
      </c>
      <c r="D4" s="52">
        <f>SUM(BS_ORIG!E6:E7)</f>
        <v>7776080336.7700005</v>
      </c>
      <c r="E4" s="52">
        <f>SUM(BS_ORIG!F6:F7)</f>
        <v>6858437875.8699999</v>
      </c>
      <c r="F4" s="52">
        <f>SUM(BS_ORIG!G6:G7)</f>
        <v>6362014127.7799997</v>
      </c>
      <c r="G4" s="52">
        <f>SUM(BS_ORIG!H6:H7)</f>
        <v>4896479203.54</v>
      </c>
      <c r="H4" s="53">
        <f>Assumption!G15*IS!H3</f>
        <v>4875723401.1060209</v>
      </c>
      <c r="I4" s="53">
        <f>Assumption!H15*IS!I3</f>
        <v>4948969836.1141167</v>
      </c>
      <c r="J4" s="53">
        <f>Assumption!I15*IS!J3</f>
        <v>4109587681.2561164</v>
      </c>
      <c r="K4" s="53">
        <f>Assumption!J15*IS!K3</f>
        <v>3892567926.8101182</v>
      </c>
      <c r="L4" s="53">
        <f>Assumption!K15*IS!L3</f>
        <v>3564909753.4948335</v>
      </c>
    </row>
    <row r="5" spans="1:13" x14ac:dyDescent="0.4">
      <c r="A5" s="2" t="s">
        <v>31</v>
      </c>
      <c r="B5" s="52">
        <f>SUM(BS_ORIG!C8:C8)</f>
        <v>5198580037.1700001</v>
      </c>
      <c r="C5" s="52">
        <f>SUM(BS_ORIG!D8:D8)</f>
        <v>7439201335.4799995</v>
      </c>
      <c r="D5" s="52">
        <f>SUM(BS_ORIG!E8:E8)</f>
        <v>7113582276.2799997</v>
      </c>
      <c r="E5" s="52">
        <f>SUM(BS_ORIG!F8:F8)</f>
        <v>2908665689.5700002</v>
      </c>
      <c r="F5" s="52">
        <f>SUM(BS_ORIG!G8:G8)</f>
        <v>1914047075.1600001</v>
      </c>
      <c r="G5" s="52">
        <f>SUM(BS_ORIG!H8:H8)</f>
        <v>1866254125.96</v>
      </c>
      <c r="H5" s="53">
        <f>Assumption!G16*IS!H3</f>
        <v>3092836449.4125891</v>
      </c>
      <c r="I5" s="53">
        <f>Assumption!H16*IS!I3</f>
        <v>2754387390.6227431</v>
      </c>
      <c r="J5" s="53">
        <f>Assumption!I16*IS!J3</f>
        <v>1889522943.5296016</v>
      </c>
      <c r="K5" s="53">
        <f>Assumption!J16*IS!K3</f>
        <v>1812697317.1051464</v>
      </c>
      <c r="L5" s="53">
        <f>Assumption!K16*IS!L3</f>
        <v>1787839103.2838657</v>
      </c>
    </row>
    <row r="6" spans="1:13" x14ac:dyDescent="0.4">
      <c r="A6" s="2" t="s">
        <v>61</v>
      </c>
      <c r="B6" s="53">
        <f t="shared" ref="B6:G6" si="1">B7-SUM(B3:B5)</f>
        <v>1060978479.2200012</v>
      </c>
      <c r="C6" s="53">
        <f t="shared" si="1"/>
        <v>2009887999.2400017</v>
      </c>
      <c r="D6" s="53">
        <f t="shared" si="1"/>
        <v>2741226490.1100006</v>
      </c>
      <c r="E6" s="53">
        <f t="shared" si="1"/>
        <v>13037780024.84</v>
      </c>
      <c r="F6" s="53">
        <f t="shared" si="1"/>
        <v>13788275686.969999</v>
      </c>
      <c r="G6" s="53">
        <f t="shared" si="1"/>
        <v>13920108637.070002</v>
      </c>
      <c r="H6" s="53">
        <f>Assumption!G17*IS!H3</f>
        <v>7113628104.2049294</v>
      </c>
      <c r="I6" s="53">
        <f>Assumption!H17*IS!I3</f>
        <v>8150564915.0091667</v>
      </c>
      <c r="J6" s="53">
        <f>Assumption!I17*IS!J3</f>
        <v>8205125226.3220816</v>
      </c>
      <c r="K6" s="53">
        <f>Assumption!J17*IS!K3</f>
        <v>7833328704.9580946</v>
      </c>
      <c r="L6" s="53">
        <f>Assumption!K17*IS!L3</f>
        <v>7053920799.4176321</v>
      </c>
    </row>
    <row r="7" spans="1:13" s="39" customFormat="1" ht="12.75" x14ac:dyDescent="0.4">
      <c r="A7" s="41" t="s">
        <v>0</v>
      </c>
      <c r="B7" s="55">
        <f>BS_ORIG!C9</f>
        <v>11960647187.27</v>
      </c>
      <c r="C7" s="55">
        <f>BS_ORIG!D9</f>
        <v>17454797991</v>
      </c>
      <c r="D7" s="55">
        <f>BS_ORIG!E9</f>
        <v>19910884470.490002</v>
      </c>
      <c r="E7" s="55">
        <f>BS_ORIG!F9</f>
        <v>25370869614.66</v>
      </c>
      <c r="F7" s="55">
        <f>BS_ORIG!G9</f>
        <v>24328693277.009998</v>
      </c>
      <c r="G7" s="55">
        <f>BS_ORIG!H9</f>
        <v>22146279452.330002</v>
      </c>
      <c r="H7" s="56">
        <f ca="1">SUM(H3:H6)</f>
        <v>15459047327.651457</v>
      </c>
      <c r="I7" s="56">
        <f ca="1">SUM(I3:I6)</f>
        <v>15404304733.707973</v>
      </c>
      <c r="J7" s="56">
        <f ca="1">SUM(J3:J6)</f>
        <v>13151328443.439793</v>
      </c>
      <c r="K7" s="56">
        <f ca="1">SUM(K3:K6)</f>
        <v>11674280506.38242</v>
      </c>
      <c r="L7" s="56">
        <f ca="1">SUM(L3:L6)</f>
        <v>9783673240.7835941</v>
      </c>
    </row>
    <row r="8" spans="1:13" s="39" customFormat="1" ht="12.75" x14ac:dyDescent="0.4">
      <c r="A8" s="41"/>
      <c r="B8" s="57"/>
      <c r="C8" s="57"/>
      <c r="D8" s="57"/>
      <c r="E8" s="57"/>
      <c r="F8" s="57"/>
      <c r="G8" s="57"/>
      <c r="H8" s="56"/>
      <c r="I8" s="56"/>
      <c r="J8" s="56"/>
      <c r="K8" s="56"/>
      <c r="L8" s="56"/>
    </row>
    <row r="9" spans="1:13" x14ac:dyDescent="0.4">
      <c r="A9" s="2" t="s">
        <v>48</v>
      </c>
      <c r="B9" s="58">
        <f>BS_ORIG!C10</f>
        <v>1968065094.45</v>
      </c>
      <c r="C9" s="58">
        <f>BS_ORIG!D10</f>
        <v>1836749735.1300001</v>
      </c>
      <c r="D9" s="58">
        <f>BS_ORIG!E10</f>
        <v>1729313505.5</v>
      </c>
      <c r="E9" s="58">
        <f>BS_ORIG!F10</f>
        <v>1421655168.5599999</v>
      </c>
      <c r="F9" s="58">
        <f>BS_ORIG!G10</f>
        <v>1304304866.01</v>
      </c>
      <c r="G9" s="58">
        <f>BS_ORIG!H10</f>
        <v>1236857613.1800001</v>
      </c>
      <c r="H9" s="53">
        <f>Assumption!G18*IS!H3</f>
        <v>1124437537.1479785</v>
      </c>
      <c r="I9" s="53">
        <f>Assumption!H18*IS!I3</f>
        <v>1105724304.0797896</v>
      </c>
      <c r="J9" s="53">
        <f>Assumption!I18*IS!J3</f>
        <v>919335657.54362011</v>
      </c>
      <c r="K9" s="53">
        <f>Assumption!J18*IS!K3</f>
        <v>881350483.86372006</v>
      </c>
      <c r="L9" s="53">
        <f>Assumption!K18*IS!L3</f>
        <v>823749046.93723476</v>
      </c>
    </row>
    <row r="10" spans="1:13" x14ac:dyDescent="0.4">
      <c r="A10" s="2" t="s">
        <v>47</v>
      </c>
      <c r="B10" s="58">
        <f>BS_ORIG!C11</f>
        <v>368538161.13999999</v>
      </c>
      <c r="C10" s="58">
        <f>BS_ORIG!D11</f>
        <v>271004750.60000002</v>
      </c>
      <c r="D10" s="58">
        <f>BS_ORIG!E11</f>
        <v>251119005.63</v>
      </c>
      <c r="E10" s="58">
        <f>BS_ORIG!F11</f>
        <v>214823270.86000001</v>
      </c>
      <c r="F10" s="58">
        <f>BS_ORIG!G11</f>
        <v>195189797.53</v>
      </c>
      <c r="G10" s="58">
        <f>BS_ORIG!H11</f>
        <v>188352269.43000001</v>
      </c>
      <c r="H10" s="53">
        <f>IS!H3*Assumption!G19</f>
        <v>167385146.1066772</v>
      </c>
      <c r="I10" s="53">
        <f>IS!I3*Assumption!H19</f>
        <v>164889929.41641825</v>
      </c>
      <c r="J10" s="53">
        <f>IS!J3*Assumption!I19</f>
        <v>138060426.19627371</v>
      </c>
      <c r="K10" s="53">
        <f>IS!K3*Assumption!J19</f>
        <v>132231518.4094746</v>
      </c>
      <c r="L10" s="53">
        <f>IS!L3*Assumption!K19</f>
        <v>123650162.84989761</v>
      </c>
    </row>
    <row r="11" spans="1:13" x14ac:dyDescent="0.4">
      <c r="A11" s="2" t="s">
        <v>20</v>
      </c>
      <c r="B11" s="53">
        <f>B12-SUM(B9:B10)</f>
        <v>2707585106.9899998</v>
      </c>
      <c r="C11" s="53">
        <f t="shared" ref="C11:G11" si="2">C12-SUM(C9:C10)</f>
        <v>3024164967.23</v>
      </c>
      <c r="D11" s="53">
        <f t="shared" si="2"/>
        <v>3973434863.6599998</v>
      </c>
      <c r="E11" s="53">
        <f t="shared" si="2"/>
        <v>4818764975.7799997</v>
      </c>
      <c r="F11" s="53">
        <f t="shared" si="2"/>
        <v>4559707394.1499996</v>
      </c>
      <c r="G11" s="53">
        <f t="shared" si="2"/>
        <v>4900866082.9899998</v>
      </c>
      <c r="H11" s="53">
        <f>IS!H3*Assumption!G20</f>
        <v>3263166709.9961171</v>
      </c>
      <c r="I11" s="53">
        <f>IS!I3*Assumption!H20</f>
        <v>3486106344.481204</v>
      </c>
      <c r="J11" s="53">
        <f>IS!J3*Assumption!I20</f>
        <v>3109568328.0142407</v>
      </c>
      <c r="K11" s="53">
        <f>IS!K3*Assumption!J20</f>
        <v>2980135153.9557934</v>
      </c>
      <c r="L11" s="53">
        <f>IS!L3*Assumption!K20</f>
        <v>2767165364.2615561</v>
      </c>
    </row>
    <row r="12" spans="1:13" s="39" customFormat="1" ht="12.75" x14ac:dyDescent="0.4">
      <c r="A12" s="41" t="s">
        <v>2</v>
      </c>
      <c r="B12" s="55">
        <f>BS_ORIG!C12</f>
        <v>5044188362.5799999</v>
      </c>
      <c r="C12" s="55">
        <f>BS_ORIG!D12</f>
        <v>5131919452.96</v>
      </c>
      <c r="D12" s="55">
        <f>BS_ORIG!E12</f>
        <v>5953867374.79</v>
      </c>
      <c r="E12" s="55">
        <f>BS_ORIG!F12</f>
        <v>6455243415.1999998</v>
      </c>
      <c r="F12" s="55">
        <f>BS_ORIG!G12</f>
        <v>6059202057.6899996</v>
      </c>
      <c r="G12" s="55">
        <f>BS_ORIG!H12</f>
        <v>6326075965.6000004</v>
      </c>
      <c r="H12" s="56">
        <f>SUM(H9:H11)</f>
        <v>4554989393.2507725</v>
      </c>
      <c r="I12" s="56">
        <f>SUM(I9:I11)</f>
        <v>4756720577.9774122</v>
      </c>
      <c r="J12" s="56">
        <f>SUM(J9:J11)</f>
        <v>4166964411.7541347</v>
      </c>
      <c r="K12" s="56">
        <f>SUM(K9:K11)</f>
        <v>3993717156.2289882</v>
      </c>
      <c r="L12" s="56">
        <f>SUM(L9:L11)</f>
        <v>3714564574.0486884</v>
      </c>
    </row>
    <row r="13" spans="1:13" s="39" customFormat="1" ht="12.75" x14ac:dyDescent="0.4">
      <c r="A13" s="41" t="s">
        <v>3</v>
      </c>
      <c r="B13" s="56">
        <f>B7+B12</f>
        <v>17004835549.85</v>
      </c>
      <c r="C13" s="56">
        <f t="shared" ref="C13:G13" si="3">C7+C12</f>
        <v>22586717443.959999</v>
      </c>
      <c r="D13" s="56">
        <f t="shared" si="3"/>
        <v>25864751845.280003</v>
      </c>
      <c r="E13" s="56">
        <f t="shared" si="3"/>
        <v>31826113029.860001</v>
      </c>
      <c r="F13" s="56">
        <f t="shared" si="3"/>
        <v>30387895334.699997</v>
      </c>
      <c r="G13" s="56">
        <f t="shared" si="3"/>
        <v>28472355417.93</v>
      </c>
      <c r="H13" s="56">
        <f ca="1">H7+H12</f>
        <v>20014036720.902229</v>
      </c>
      <c r="I13" s="56">
        <f ca="1">I7+I12</f>
        <v>20161025311.685387</v>
      </c>
      <c r="J13" s="56">
        <f ca="1">J7+J12</f>
        <v>17318292855.193928</v>
      </c>
      <c r="K13" s="56">
        <f ca="1">K7+K12</f>
        <v>15667997662.611408</v>
      </c>
      <c r="L13" s="56">
        <f ca="1">L7+L12</f>
        <v>13498237814.832283</v>
      </c>
    </row>
    <row r="14" spans="1:13" s="39" customFormat="1" ht="12.75" x14ac:dyDescent="0.4">
      <c r="A14" s="41"/>
      <c r="B14" s="57"/>
      <c r="C14" s="57"/>
      <c r="D14" s="57"/>
      <c r="E14" s="57"/>
      <c r="F14" s="57"/>
      <c r="G14" s="57"/>
      <c r="H14" s="56"/>
      <c r="I14" s="56"/>
      <c r="J14" s="56"/>
      <c r="K14" s="56"/>
      <c r="L14" s="56"/>
    </row>
    <row r="15" spans="1:13" x14ac:dyDescent="0.4">
      <c r="A15" s="2" t="s">
        <v>28</v>
      </c>
      <c r="B15" s="58">
        <f>BS_ORIG!C14</f>
        <v>2398323070.3099999</v>
      </c>
      <c r="C15" s="58">
        <f>BS_ORIG!D14</f>
        <v>3019518316.4699998</v>
      </c>
      <c r="D15" s="58">
        <f>BS_ORIG!E14</f>
        <v>6847020000</v>
      </c>
      <c r="E15" s="58">
        <f>BS_ORIG!F14</f>
        <v>6269244000</v>
      </c>
      <c r="F15" s="58">
        <f>BS_ORIG!G14</f>
        <v>5305783711.4899998</v>
      </c>
      <c r="G15" s="58">
        <f>BS_ORIG!H14</f>
        <v>4694800000</v>
      </c>
      <c r="H15" s="53">
        <f>IS!H3*Assumption!G21</f>
        <v>3993116476.5113473</v>
      </c>
      <c r="I15" s="53">
        <f>IS!I3*Assumption!H21</f>
        <v>4347811948.0813408</v>
      </c>
      <c r="J15" s="53">
        <f>IS!J3*Assumption!I21</f>
        <v>3608176348.0708203</v>
      </c>
      <c r="K15" s="53">
        <f>IS!K3*Assumption!J21</f>
        <v>3394409368.0546169</v>
      </c>
      <c r="L15" s="53">
        <f>IS!L3*Assumption!K21</f>
        <v>3138165132.4865232</v>
      </c>
    </row>
    <row r="16" spans="1:13" x14ac:dyDescent="0.4">
      <c r="A16" s="2" t="s">
        <v>32</v>
      </c>
      <c r="B16" s="58">
        <f>SUM(BS_ORIG!C15:C16)</f>
        <v>5014668889.1199999</v>
      </c>
      <c r="C16" s="58">
        <f>SUM(BS_ORIG!D15:D16)</f>
        <v>7532264300.2199993</v>
      </c>
      <c r="D16" s="58">
        <f>SUM(BS_ORIG!E15:E16)</f>
        <v>7739523170.9200001</v>
      </c>
      <c r="E16" s="58">
        <f>SUM(BS_ORIG!F15:F16)</f>
        <v>10660420412.530001</v>
      </c>
      <c r="F16" s="58">
        <f>SUM(BS_ORIG!G15:G16)</f>
        <v>9825908859.7399998</v>
      </c>
      <c r="G16" s="58">
        <f>SUM(BS_ORIG!H15:H16)</f>
        <v>9600536150.8299999</v>
      </c>
      <c r="H16" s="53">
        <f>Assumption!G22*IS!H3</f>
        <v>6873200670.653779</v>
      </c>
      <c r="I16" s="53">
        <f>Assumption!H22*IS!I3</f>
        <v>7203025800.5814629</v>
      </c>
      <c r="J16" s="53">
        <f>Assumption!I22*IS!J3</f>
        <v>6492178499.351963</v>
      </c>
      <c r="K16" s="53">
        <f>Assumption!J22*IS!K3</f>
        <v>6165687493.8926735</v>
      </c>
      <c r="L16" s="53">
        <f>Assumption!K22*IS!L3</f>
        <v>5677297018.3211784</v>
      </c>
    </row>
    <row r="17" spans="1:12" x14ac:dyDescent="0.4">
      <c r="A17" s="2" t="s">
        <v>232</v>
      </c>
      <c r="B17" s="53">
        <f t="shared" ref="B17:G17" si="4">B18-SUM(B15:B16)</f>
        <v>2746185824.9699993</v>
      </c>
      <c r="C17" s="53">
        <f t="shared" si="4"/>
        <v>5161110879.2800007</v>
      </c>
      <c r="D17" s="53">
        <f t="shared" si="4"/>
        <v>5520399070.3399982</v>
      </c>
      <c r="E17" s="53">
        <f t="shared" si="4"/>
        <v>5705263419.4899998</v>
      </c>
      <c r="F17" s="53">
        <f t="shared" si="4"/>
        <v>7213372811.8400002</v>
      </c>
      <c r="G17" s="53">
        <f t="shared" si="4"/>
        <v>8177902547.3700008</v>
      </c>
      <c r="H17" s="53">
        <f>Assumption!G23*IS!H3</f>
        <v>4934924951.7653275</v>
      </c>
      <c r="I17" s="53">
        <f>Assumption!H23*IS!I3</f>
        <v>5201434311.0274563</v>
      </c>
      <c r="J17" s="53">
        <f>Assumption!I23*IS!J3</f>
        <v>4697890745.3790541</v>
      </c>
      <c r="K17" s="53">
        <f>Assumption!J23*IS!K3</f>
        <v>4650069622.7243814</v>
      </c>
      <c r="L17" s="53">
        <f>Assumption!K23*IS!L3</f>
        <v>4305750141.3081741</v>
      </c>
    </row>
    <row r="18" spans="1:12" s="39" customFormat="1" ht="12.75" x14ac:dyDescent="0.4">
      <c r="A18" s="41" t="s">
        <v>4</v>
      </c>
      <c r="B18" s="55">
        <f>BS_ORIG!C17</f>
        <v>10159177784.4</v>
      </c>
      <c r="C18" s="55">
        <f>BS_ORIG!D17</f>
        <v>15712893495.969999</v>
      </c>
      <c r="D18" s="55">
        <f>BS_ORIG!E17</f>
        <v>20106942241.259998</v>
      </c>
      <c r="E18" s="55">
        <f>BS_ORIG!F17</f>
        <v>22634927832.02</v>
      </c>
      <c r="F18" s="55">
        <f>BS_ORIG!G17</f>
        <v>22345065383.07</v>
      </c>
      <c r="G18" s="55">
        <f>BS_ORIG!H17</f>
        <v>22473238698.200001</v>
      </c>
      <c r="H18" s="56">
        <f>SUM(H15:H17)</f>
        <v>15801242098.930454</v>
      </c>
      <c r="I18" s="56">
        <f>SUM(I15:I17)</f>
        <v>16752272059.69026</v>
      </c>
      <c r="J18" s="56">
        <f>SUM(J15:J17)</f>
        <v>14798245592.801838</v>
      </c>
      <c r="K18" s="56">
        <f>SUM(K15:K17)</f>
        <v>14210166484.671673</v>
      </c>
      <c r="L18" s="56">
        <f>SUM(L15:L17)</f>
        <v>13121212292.115875</v>
      </c>
    </row>
    <row r="19" spans="1:12" s="39" customFormat="1" ht="12.75" x14ac:dyDescent="0.4">
      <c r="A19" s="41"/>
      <c r="B19" s="57"/>
      <c r="C19" s="57"/>
      <c r="D19" s="57"/>
      <c r="E19" s="57"/>
      <c r="F19" s="57"/>
      <c r="G19" s="57"/>
      <c r="H19" s="56"/>
      <c r="I19" s="56"/>
      <c r="J19" s="56"/>
      <c r="K19" s="56"/>
      <c r="L19" s="56"/>
    </row>
    <row r="20" spans="1:12" s="39" customFormat="1" x14ac:dyDescent="0.4">
      <c r="A20" s="2" t="s">
        <v>15</v>
      </c>
      <c r="B20" s="58">
        <f>SUM(BS_ORIG!C18:C18)</f>
        <v>2045694808.6900001</v>
      </c>
      <c r="C20" s="58">
        <f>SUM(BS_ORIG!D18:D18)</f>
        <v>2519423945.1999998</v>
      </c>
      <c r="D20" s="58">
        <f>SUM(BS_ORIG!E18:E18)</f>
        <v>665949968.61000001</v>
      </c>
      <c r="E20" s="58">
        <f>SUM(BS_ORIG!F18:F18)</f>
        <v>4629826631.8100004</v>
      </c>
      <c r="F20" s="58">
        <f>SUM(BS_ORIG!G18:G18)</f>
        <v>4916500000</v>
      </c>
      <c r="G20" s="58">
        <f>SUM(BS_ORIG!H18:H18)</f>
        <v>3730500000</v>
      </c>
      <c r="H20" s="53">
        <f>Assumption!G24*IS!H3</f>
        <v>2472795264.1849604</v>
      </c>
      <c r="I20" s="53">
        <f>Assumption!H24*IS!I3</f>
        <v>2614357641.7092614</v>
      </c>
      <c r="J20" s="53">
        <f>Assumption!I24*IS!J3</f>
        <v>2662312372.7245584</v>
      </c>
      <c r="K20" s="53">
        <f>Assumption!J24*IS!K3</f>
        <v>2504205124.7511239</v>
      </c>
      <c r="L20" s="53">
        <f>Assumption!K24*IS!L3</f>
        <v>2193092367.259305</v>
      </c>
    </row>
    <row r="21" spans="1:12" s="39" customFormat="1" x14ac:dyDescent="0.4">
      <c r="A21" s="2" t="s">
        <v>62</v>
      </c>
      <c r="B21" s="53">
        <f>B22-B20</f>
        <v>2019336593.8299999</v>
      </c>
      <c r="C21" s="53">
        <f t="shared" ref="C21:G21" si="5">C22-C20</f>
        <v>1194571659.75</v>
      </c>
      <c r="D21" s="53">
        <f t="shared" si="5"/>
        <v>734573987.12</v>
      </c>
      <c r="E21" s="53">
        <f t="shared" si="5"/>
        <v>62362123.109999657</v>
      </c>
      <c r="F21" s="53">
        <f t="shared" si="5"/>
        <v>39852844.699999809</v>
      </c>
      <c r="G21" s="53">
        <f t="shared" si="5"/>
        <v>31356152.489999771</v>
      </c>
      <c r="H21" s="53">
        <f>Assumption!G25*IS!H3</f>
        <v>287238347.79510236</v>
      </c>
      <c r="I21" s="53">
        <f>Assumption!H25*IS!I3</f>
        <v>195253937.3889204</v>
      </c>
      <c r="J21" s="53">
        <f>Assumption!I25*IS!J3</f>
        <v>101066368.67971148</v>
      </c>
      <c r="K21" s="53">
        <f>Assumption!J25*IS!K3</f>
        <v>105700972.01097693</v>
      </c>
      <c r="L21" s="53">
        <f>Assumption!K25*IS!L3</f>
        <v>112991817.43276361</v>
      </c>
    </row>
    <row r="22" spans="1:12" s="39" customFormat="1" ht="12.75" x14ac:dyDescent="0.4">
      <c r="A22" s="41" t="s">
        <v>5</v>
      </c>
      <c r="B22" s="55">
        <f>BS_ORIG!C19</f>
        <v>4065031402.52</v>
      </c>
      <c r="C22" s="55">
        <f>BS_ORIG!D19</f>
        <v>3713995604.9499998</v>
      </c>
      <c r="D22" s="55">
        <f>BS_ORIG!E19</f>
        <v>1400523955.73</v>
      </c>
      <c r="E22" s="55">
        <f>BS_ORIG!F19</f>
        <v>4692188754.9200001</v>
      </c>
      <c r="F22" s="55">
        <f>BS_ORIG!G19</f>
        <v>4956352844.6999998</v>
      </c>
      <c r="G22" s="55">
        <f>BS_ORIG!H19</f>
        <v>3761856152.4899998</v>
      </c>
      <c r="H22" s="56">
        <f>SUM(H20:H21)</f>
        <v>2760033611.9800625</v>
      </c>
      <c r="I22" s="56">
        <f>SUM(I20:I21)</f>
        <v>2809611579.0981817</v>
      </c>
      <c r="J22" s="56">
        <f>SUM(J20:J21)</f>
        <v>2763378741.4042697</v>
      </c>
      <c r="K22" s="56">
        <f>SUM(K20:K21)</f>
        <v>2609906096.7621007</v>
      </c>
      <c r="L22" s="56">
        <f>SUM(L20:L21)</f>
        <v>2306084184.6920686</v>
      </c>
    </row>
    <row r="23" spans="1:12" s="39" customFormat="1" ht="12.75" x14ac:dyDescent="0.4">
      <c r="A23" s="41" t="s">
        <v>6</v>
      </c>
      <c r="B23" s="55">
        <f>BS_ORIG!C20</f>
        <v>14224209186.92</v>
      </c>
      <c r="C23" s="55">
        <f>BS_ORIG!D20</f>
        <v>19426889100.919998</v>
      </c>
      <c r="D23" s="55">
        <f>BS_ORIG!E20</f>
        <v>21507466196.990002</v>
      </c>
      <c r="E23" s="55">
        <f>BS_ORIG!F20</f>
        <v>27327116586.939999</v>
      </c>
      <c r="F23" s="55">
        <f>BS_ORIG!G20</f>
        <v>27301418227.77</v>
      </c>
      <c r="G23" s="55">
        <f>BS_ORIG!H20</f>
        <v>26235094850.689999</v>
      </c>
      <c r="H23" s="56">
        <f>H18+H22</f>
        <v>18561275710.910515</v>
      </c>
      <c r="I23" s="56">
        <f>I18+I22</f>
        <v>19561883638.788441</v>
      </c>
      <c r="J23" s="56">
        <f>J18+J22</f>
        <v>17561624334.206108</v>
      </c>
      <c r="K23" s="56">
        <f>K18+K22</f>
        <v>16820072581.433773</v>
      </c>
      <c r="L23" s="56">
        <f>L18+L22</f>
        <v>15427296476.807943</v>
      </c>
    </row>
    <row r="24" spans="1:12" s="39" customFormat="1" ht="12.75" x14ac:dyDescent="0.4">
      <c r="A24" s="41"/>
      <c r="B24" s="57"/>
      <c r="C24" s="57"/>
      <c r="D24" s="57"/>
      <c r="E24" s="57"/>
      <c r="F24" s="57"/>
      <c r="G24" s="57"/>
      <c r="H24" s="56"/>
      <c r="I24" s="56"/>
      <c r="J24" s="56"/>
      <c r="K24" s="56"/>
      <c r="L24" s="56"/>
    </row>
    <row r="25" spans="1:12" s="39" customFormat="1" x14ac:dyDescent="0.4">
      <c r="A25" s="2" t="s">
        <v>16</v>
      </c>
      <c r="B25" s="58">
        <f>SUM(BS_ORIG!C21:C21)</f>
        <v>263536430.66999999</v>
      </c>
      <c r="C25" s="58">
        <f>SUM(BS_ORIG!D21:D21)</f>
        <v>473044707.58999997</v>
      </c>
      <c r="D25" s="58">
        <f>SUM(BS_ORIG!E21:E21)</f>
        <v>547647454.12</v>
      </c>
      <c r="E25" s="58">
        <f>SUM(BS_ORIG!F21:F21)</f>
        <v>525309893.41000003</v>
      </c>
      <c r="F25" s="58">
        <f>SUM(BS_ORIG!G21:G21)</f>
        <v>-634207410.25</v>
      </c>
      <c r="G25" s="58">
        <f>SUM(BS_ORIG!H21:H21)</f>
        <v>-1327527171.3699999</v>
      </c>
      <c r="H25" s="53">
        <f ca="1">Assumption!G29</f>
        <v>-2112026728.6182849</v>
      </c>
      <c r="I25" s="53">
        <f ca="1">Assumption!H29</f>
        <v>-2965646065.7130532</v>
      </c>
      <c r="J25" s="53">
        <f ca="1">Assumption!I29</f>
        <v>-3808119217.6221809</v>
      </c>
      <c r="K25" s="53">
        <f ca="1">Assumption!J29</f>
        <v>-4716862657.4323635</v>
      </c>
      <c r="L25" s="53">
        <f ca="1">Assumption!K29</f>
        <v>-5493846400.5856609</v>
      </c>
    </row>
    <row r="26" spans="1:12" x14ac:dyDescent="0.4">
      <c r="A26" s="2" t="s">
        <v>7</v>
      </c>
      <c r="B26" s="58">
        <f>BS_ORIG!C22</f>
        <v>295100716.60000002</v>
      </c>
      <c r="C26" s="58">
        <f>BS_ORIG!D22</f>
        <v>447738325.73000002</v>
      </c>
      <c r="D26" s="58">
        <f>BS_ORIG!E22</f>
        <v>559872920.25999999</v>
      </c>
      <c r="E26" s="58">
        <f>BS_ORIG!F22</f>
        <v>829770253.74000001</v>
      </c>
      <c r="F26" s="58">
        <f>BS_ORIG!G22</f>
        <v>583369127.32000005</v>
      </c>
      <c r="G26" s="58">
        <f>BS_ORIG!H22</f>
        <v>426965552.02999997</v>
      </c>
      <c r="H26" s="53">
        <f>G26</f>
        <v>426965552.02999997</v>
      </c>
      <c r="I26" s="53">
        <f t="shared" ref="I26:L27" si="6">H26</f>
        <v>426965552.02999997</v>
      </c>
      <c r="J26" s="53">
        <f t="shared" si="6"/>
        <v>426965552.02999997</v>
      </c>
      <c r="K26" s="53">
        <f t="shared" si="6"/>
        <v>426965552.02999997</v>
      </c>
      <c r="L26" s="53">
        <f t="shared" si="6"/>
        <v>426965552.02999997</v>
      </c>
    </row>
    <row r="27" spans="1:12" x14ac:dyDescent="0.4">
      <c r="A27" s="2" t="s">
        <v>112</v>
      </c>
      <c r="B27" s="53">
        <f t="shared" ref="B27:G27" si="7">B28-SUM(B25:B26)</f>
        <v>2221989215.6599998</v>
      </c>
      <c r="C27" s="53">
        <f t="shared" si="7"/>
        <v>2239045309.7200003</v>
      </c>
      <c r="D27" s="53">
        <f t="shared" si="7"/>
        <v>3249765273.9099998</v>
      </c>
      <c r="E27" s="53">
        <f t="shared" si="7"/>
        <v>3143916295.77</v>
      </c>
      <c r="F27" s="53">
        <f t="shared" si="7"/>
        <v>3137315389.8599997</v>
      </c>
      <c r="G27" s="53">
        <f t="shared" si="7"/>
        <v>3137822186.5799999</v>
      </c>
      <c r="H27" s="53">
        <f>G27</f>
        <v>3137822186.5799999</v>
      </c>
      <c r="I27" s="53">
        <f t="shared" si="6"/>
        <v>3137822186.5799999</v>
      </c>
      <c r="J27" s="53">
        <f t="shared" si="6"/>
        <v>3137822186.5799999</v>
      </c>
      <c r="K27" s="53">
        <f t="shared" si="6"/>
        <v>3137822186.5799999</v>
      </c>
      <c r="L27" s="53">
        <f t="shared" si="6"/>
        <v>3137822186.5799999</v>
      </c>
    </row>
    <row r="28" spans="1:12" s="39" customFormat="1" ht="12.75" x14ac:dyDescent="0.4">
      <c r="A28" s="41" t="s">
        <v>8</v>
      </c>
      <c r="B28" s="55">
        <f>BS_ORIG!C23</f>
        <v>2780626362.9299998</v>
      </c>
      <c r="C28" s="55">
        <f>BS_ORIG!D23</f>
        <v>3159828343.04</v>
      </c>
      <c r="D28" s="55">
        <f>BS_ORIG!E23</f>
        <v>4357285648.29</v>
      </c>
      <c r="E28" s="55">
        <f>BS_ORIG!F23</f>
        <v>4498996442.9200001</v>
      </c>
      <c r="F28" s="55">
        <f>BS_ORIG!G23</f>
        <v>3086477106.9299998</v>
      </c>
      <c r="G28" s="55">
        <f>BS_ORIG!H23</f>
        <v>2237260567.2399998</v>
      </c>
      <c r="H28" s="56">
        <f ca="1">SUM(H25:H27)</f>
        <v>1452761009.991715</v>
      </c>
      <c r="I28" s="56">
        <f t="shared" ref="I28:L28" ca="1" si="8">SUM(I25:I27)</f>
        <v>599141672.89694691</v>
      </c>
      <c r="J28" s="56">
        <f t="shared" ca="1" si="8"/>
        <v>-243331479.01218128</v>
      </c>
      <c r="K28" s="56">
        <f t="shared" ca="1" si="8"/>
        <v>-1152074918.8223639</v>
      </c>
      <c r="L28" s="56">
        <f t="shared" ca="1" si="8"/>
        <v>-1929058661.9756613</v>
      </c>
    </row>
    <row r="29" spans="1:12" s="39" customFormat="1" ht="12.75" x14ac:dyDescent="0.4">
      <c r="A29" s="41" t="s">
        <v>9</v>
      </c>
      <c r="B29" s="56">
        <f>BS!B28+BS!B23</f>
        <v>17004835549.85</v>
      </c>
      <c r="C29" s="56">
        <f>BS!C28+BS!C23</f>
        <v>22586717443.959999</v>
      </c>
      <c r="D29" s="56">
        <f>BS!D28+BS!D23</f>
        <v>25864751845.280003</v>
      </c>
      <c r="E29" s="56">
        <f>BS!E28+BS!E23</f>
        <v>31826113029.860001</v>
      </c>
      <c r="F29" s="56">
        <f>BS!F28+BS!F23</f>
        <v>30387895334.700001</v>
      </c>
      <c r="G29" s="56">
        <f>BS!G28+BS!G23</f>
        <v>28472355417.93</v>
      </c>
      <c r="H29" s="56">
        <f ca="1">H23+H28</f>
        <v>20014036720.902229</v>
      </c>
      <c r="I29" s="56">
        <f ca="1">I23+I28</f>
        <v>20161025311.685387</v>
      </c>
      <c r="J29" s="56">
        <f ca="1">J23+J28</f>
        <v>17318292855.193928</v>
      </c>
      <c r="K29" s="56">
        <f ca="1">K23+K28</f>
        <v>15667997662.611408</v>
      </c>
      <c r="L29" s="56">
        <f ca="1">L23+L28</f>
        <v>13498237814.832283</v>
      </c>
    </row>
    <row r="30" spans="1:12" x14ac:dyDescent="0.4">
      <c r="A30" s="40" t="s">
        <v>206</v>
      </c>
      <c r="B30" s="59">
        <f t="shared" ref="B30:L30" si="9">B13-B29</f>
        <v>0</v>
      </c>
      <c r="C30" s="59">
        <f t="shared" si="9"/>
        <v>0</v>
      </c>
      <c r="D30" s="59">
        <f t="shared" si="9"/>
        <v>0</v>
      </c>
      <c r="E30" s="59">
        <f t="shared" si="9"/>
        <v>0</v>
      </c>
      <c r="F30" s="59">
        <f t="shared" si="9"/>
        <v>0</v>
      </c>
      <c r="G30" s="59">
        <f t="shared" si="9"/>
        <v>0</v>
      </c>
      <c r="H30" s="59">
        <f t="shared" ca="1" si="9"/>
        <v>0</v>
      </c>
      <c r="I30" s="59">
        <f t="shared" ca="1" si="9"/>
        <v>0</v>
      </c>
      <c r="J30" s="59">
        <f t="shared" ca="1" si="9"/>
        <v>0</v>
      </c>
      <c r="K30" s="59">
        <f t="shared" ca="1" si="9"/>
        <v>0</v>
      </c>
      <c r="L30" s="59">
        <f t="shared" ca="1" si="9"/>
        <v>0</v>
      </c>
    </row>
    <row r="31" spans="1:12" x14ac:dyDescent="0.4">
      <c r="H31" s="53"/>
      <c r="I31" s="53"/>
      <c r="J31" s="53"/>
      <c r="K31" s="53"/>
      <c r="L31" s="53"/>
    </row>
    <row r="32" spans="1:12" x14ac:dyDescent="0.4">
      <c r="H32" s="53"/>
      <c r="I32" s="53"/>
      <c r="J32" s="53"/>
      <c r="K32" s="53"/>
      <c r="L32" s="53"/>
    </row>
    <row r="33" spans="1:12" x14ac:dyDescent="0.4">
      <c r="H33" s="53"/>
      <c r="I33" s="53"/>
      <c r="J33" s="53"/>
      <c r="K33" s="53"/>
      <c r="L33" s="53"/>
    </row>
    <row r="34" spans="1:12" x14ac:dyDescent="0.4">
      <c r="A34" s="40" t="s">
        <v>255</v>
      </c>
      <c r="B34" s="60" t="s">
        <v>261</v>
      </c>
      <c r="H34" s="53"/>
      <c r="I34" s="53"/>
      <c r="J34" s="53"/>
      <c r="K34" s="53"/>
      <c r="L34" s="53"/>
    </row>
    <row r="35" spans="1:12" x14ac:dyDescent="0.4">
      <c r="A35" s="40" t="s">
        <v>257</v>
      </c>
      <c r="H35" s="53"/>
      <c r="I35" s="53"/>
      <c r="J35" s="53"/>
      <c r="K35" s="53"/>
      <c r="L35" s="53"/>
    </row>
    <row r="36" spans="1:12" x14ac:dyDescent="0.4">
      <c r="A36" s="40" t="s">
        <v>256</v>
      </c>
      <c r="H36" s="53"/>
      <c r="I36" s="53"/>
      <c r="J36" s="53"/>
      <c r="K36" s="53"/>
      <c r="L36" s="53"/>
    </row>
    <row r="37" spans="1:12" x14ac:dyDescent="0.4">
      <c r="A37" s="40" t="s">
        <v>258</v>
      </c>
      <c r="B37" s="60" t="s">
        <v>262</v>
      </c>
    </row>
    <row r="38" spans="1:12" x14ac:dyDescent="0.4">
      <c r="A38" s="40" t="s">
        <v>259</v>
      </c>
      <c r="B38" s="60" t="s">
        <v>263</v>
      </c>
      <c r="H38" s="53"/>
      <c r="I38" s="53"/>
      <c r="J38" s="53"/>
      <c r="K38" s="53"/>
      <c r="L38" s="53"/>
    </row>
    <row r="39" spans="1:12" x14ac:dyDescent="0.4">
      <c r="H39" s="53"/>
      <c r="I39" s="53"/>
      <c r="J39" s="53"/>
      <c r="K39" s="53"/>
      <c r="L39" s="53"/>
    </row>
    <row r="40" spans="1:12" x14ac:dyDescent="0.4">
      <c r="A40" s="40" t="s">
        <v>260</v>
      </c>
      <c r="B40" s="60" t="s">
        <v>264</v>
      </c>
      <c r="H40" s="53"/>
      <c r="I40" s="53"/>
      <c r="J40" s="53"/>
      <c r="K40" s="53"/>
      <c r="L40" s="53"/>
    </row>
    <row r="41" spans="1:12" x14ac:dyDescent="0.4">
      <c r="H41" s="53"/>
      <c r="I41" s="53"/>
      <c r="J41" s="53"/>
      <c r="K41" s="53"/>
      <c r="L41" s="53"/>
    </row>
    <row r="42" spans="1:12" x14ac:dyDescent="0.4">
      <c r="H42" s="53"/>
      <c r="I42" s="53"/>
      <c r="J42" s="53"/>
      <c r="K42" s="53"/>
      <c r="L42" s="53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1383-75F0-486A-8008-17B216CE088E}">
  <sheetPr>
    <tabColor rgb="FFFF0000"/>
  </sheetPr>
  <dimension ref="A1:L25"/>
  <sheetViews>
    <sheetView zoomScaleNormal="100" workbookViewId="0">
      <pane xSplit="1" ySplit="2" topLeftCell="D3" activePane="bottomRight" state="frozen"/>
      <selection pane="topRight" activeCell="B1" sqref="B1"/>
      <selection pane="bottomLeft" activeCell="A2" sqref="A2"/>
      <selection pane="bottomRight" activeCell="E34" sqref="E34"/>
    </sheetView>
  </sheetViews>
  <sheetFormatPr defaultColWidth="8.796875" defaultRowHeight="13.15" x14ac:dyDescent="0.4"/>
  <cols>
    <col min="1" max="1" width="51.33203125" style="60" customWidth="1"/>
    <col min="2" max="7" width="16.59765625" style="60" customWidth="1"/>
    <col min="8" max="12" width="14.86328125" style="3" customWidth="1"/>
    <col min="13" max="16384" width="8.796875" style="1"/>
  </cols>
  <sheetData>
    <row r="1" spans="1:12" x14ac:dyDescent="0.4">
      <c r="A1" s="2" t="s">
        <v>18</v>
      </c>
      <c r="B1" s="100" t="s">
        <v>212</v>
      </c>
      <c r="C1" s="100" t="s">
        <v>211</v>
      </c>
      <c r="D1" s="100" t="s">
        <v>210</v>
      </c>
      <c r="E1" s="100" t="s">
        <v>209</v>
      </c>
      <c r="F1" s="100" t="s">
        <v>208</v>
      </c>
      <c r="G1" s="100" t="s">
        <v>207</v>
      </c>
      <c r="H1" s="99" t="s">
        <v>213</v>
      </c>
      <c r="I1" s="99" t="s">
        <v>214</v>
      </c>
      <c r="J1" s="99" t="s">
        <v>215</v>
      </c>
      <c r="K1" s="99" t="s">
        <v>216</v>
      </c>
      <c r="L1" s="99" t="s">
        <v>217</v>
      </c>
    </row>
    <row r="2" spans="1:12" x14ac:dyDescent="0.4">
      <c r="A2" s="2" t="s">
        <v>18</v>
      </c>
      <c r="B2" s="140">
        <v>2016</v>
      </c>
      <c r="C2" s="101">
        <v>2017</v>
      </c>
      <c r="D2" s="101">
        <v>2018</v>
      </c>
      <c r="E2" s="101">
        <v>2019</v>
      </c>
      <c r="F2" s="101">
        <v>2020</v>
      </c>
      <c r="G2" s="101">
        <v>2021</v>
      </c>
      <c r="H2" s="101">
        <v>2022</v>
      </c>
      <c r="I2" s="101">
        <v>2023</v>
      </c>
      <c r="J2" s="101">
        <v>2024</v>
      </c>
      <c r="K2" s="101">
        <v>2025</v>
      </c>
      <c r="L2" s="101">
        <v>2026</v>
      </c>
    </row>
    <row r="3" spans="1:12" s="39" customFormat="1" ht="12.75" x14ac:dyDescent="0.4">
      <c r="A3" s="39" t="s">
        <v>114</v>
      </c>
      <c r="B3" s="55">
        <f>IS_ORIG!C3</f>
        <v>1195145239.0599999</v>
      </c>
      <c r="C3" s="55">
        <f>IS_ORIG!D3</f>
        <v>10403683552.02</v>
      </c>
      <c r="D3" s="55">
        <f>IS_ORIG!E3</f>
        <v>7700163469.1099997</v>
      </c>
      <c r="E3" s="55">
        <f>IS_ORIG!F3</f>
        <v>10779197063.450001</v>
      </c>
      <c r="F3" s="55">
        <f>IS_ORIG!G3</f>
        <v>7712473560.2299995</v>
      </c>
      <c r="G3" s="55">
        <f>IS_ORIG!H3</f>
        <v>6806791172.1499996</v>
      </c>
      <c r="H3" s="56">
        <f>'Sales forecast'!H3</f>
        <v>6361064517.3972874</v>
      </c>
      <c r="I3" s="56">
        <f>'Sales forecast'!I3</f>
        <v>6253639837.9969959</v>
      </c>
      <c r="J3" s="56">
        <f>'Sales forecast'!J3</f>
        <v>5496472210.4076719</v>
      </c>
      <c r="K3" s="56">
        <f>'Sales forecast'!K3</f>
        <v>5055548434.9527521</v>
      </c>
      <c r="L3" s="56">
        <f>'Sales forecast'!L3</f>
        <v>4697026371.4994345</v>
      </c>
    </row>
    <row r="4" spans="1:12" s="39" customFormat="1" x14ac:dyDescent="0.4">
      <c r="A4" s="39" t="s">
        <v>10</v>
      </c>
      <c r="B4" s="55">
        <f>IS_ORIG!C4</f>
        <v>979838375.11000001</v>
      </c>
      <c r="C4" s="55">
        <f>IS_ORIG!D4</f>
        <v>9281399493.1000004</v>
      </c>
      <c r="D4" s="55">
        <f>IS_ORIG!E4</f>
        <v>6558209775.9300003</v>
      </c>
      <c r="E4" s="55">
        <f>IS_ORIG!F4</f>
        <v>9280060579.7199993</v>
      </c>
      <c r="F4" s="55">
        <f>IS_ORIG!G4</f>
        <v>7689615630.4300003</v>
      </c>
      <c r="G4" s="55">
        <f>IS_ORIG!H4</f>
        <v>5670633675.9799995</v>
      </c>
      <c r="H4" s="53">
        <f>Assumption!G3*IS!$H$3</f>
        <v>5642096145.1037369</v>
      </c>
      <c r="I4" s="53">
        <f>Assumption!H3*IS!$I$3</f>
        <v>5540368664.0905046</v>
      </c>
      <c r="J4" s="53">
        <f>Assumption!I3*IS!$J$3</f>
        <v>4907207233.3277397</v>
      </c>
      <c r="K4" s="53">
        <f>Assumption!J3*IS!$K$3</f>
        <v>4545776974.4084692</v>
      </c>
      <c r="L4" s="53">
        <f>Assumption!K3*IS!$L$3</f>
        <v>4131466272.8829508</v>
      </c>
    </row>
    <row r="5" spans="1:12" x14ac:dyDescent="0.4">
      <c r="A5" s="1" t="s">
        <v>17</v>
      </c>
      <c r="B5" s="58">
        <f>IS_ORIG!C5+IS_ORIG!C6+IS_ORIG!C7+IS_ORIG!C8</f>
        <v>292788023.26999998</v>
      </c>
      <c r="C5" s="58">
        <f>IS_ORIG!D5+IS_ORIG!D6+IS_ORIG!D7+IS_ORIG!D8</f>
        <v>447332404.63999999</v>
      </c>
      <c r="D5" s="58">
        <f>IS_ORIG!E5+IS_ORIG!E6+IS_ORIG!E7+IS_ORIG!E8</f>
        <v>441050318.18999994</v>
      </c>
      <c r="E5" s="58">
        <f>IS_ORIG!F5+IS_ORIG!F6+IS_ORIG!F7+IS_ORIG!F8</f>
        <v>456104900.56999999</v>
      </c>
      <c r="F5" s="58">
        <f>IS_ORIG!G5+IS_ORIG!G6+IS_ORIG!G7+IS_ORIG!G8</f>
        <v>588256540.10000002</v>
      </c>
      <c r="G5" s="58">
        <f>IS_ORIG!H5+IS_ORIG!H6+IS_ORIG!H7+IS_ORIG!H8</f>
        <v>516086871.06999993</v>
      </c>
      <c r="H5" s="53">
        <f>Assumption!G4*IS!$H$3</f>
        <v>374897974.72149211</v>
      </c>
      <c r="I5" s="53">
        <f>Assumption!H4*IS!$I$3</f>
        <v>388501928.12403649</v>
      </c>
      <c r="J5" s="53">
        <f>Assumption!I4*IS!$J$3</f>
        <v>346790820.75273156</v>
      </c>
      <c r="K5" s="53">
        <f>Assumption!J4*IS!$K$3</f>
        <v>339982229.16668004</v>
      </c>
      <c r="L5" s="53">
        <f>Assumption!K4*IS!$L$3</f>
        <v>307394604.79586619</v>
      </c>
    </row>
    <row r="6" spans="1:12" x14ac:dyDescent="0.4">
      <c r="A6" s="1" t="s">
        <v>11</v>
      </c>
      <c r="B6" s="58">
        <f>IS_ORIG!C9</f>
        <v>-1948003.43</v>
      </c>
      <c r="C6" s="58">
        <f>IS_ORIG!D9</f>
        <v>134078631.69</v>
      </c>
      <c r="D6" s="58">
        <f>IS_ORIG!E9</f>
        <v>88534509.310000002</v>
      </c>
      <c r="E6" s="58">
        <f>IS_ORIG!F9</f>
        <v>-132353456.19</v>
      </c>
      <c r="F6" s="58">
        <f>IS_ORIG!G9</f>
        <v>78508508.299999997</v>
      </c>
      <c r="G6" s="58">
        <f>IS_ORIG!H9</f>
        <v>79056432.379999995</v>
      </c>
      <c r="H6" s="53">
        <f>Assumption!G5*IS!$H$3</f>
        <v>43128681.162295818</v>
      </c>
      <c r="I6" s="53">
        <f>Assumption!H5*IS!$I$3</f>
        <v>34761500.625402607</v>
      </c>
      <c r="J6" s="53">
        <f>Assumption!I5*IS!$J$3</f>
        <v>24023841.517173592</v>
      </c>
      <c r="K6" s="53">
        <f>Assumption!J5*IS!$K$3</f>
        <v>38931007.728264324</v>
      </c>
      <c r="L6" s="53">
        <f>Assumption!K5*IS!$L$3</f>
        <v>33841584.951813079</v>
      </c>
    </row>
    <row r="7" spans="1:12" x14ac:dyDescent="0.4">
      <c r="A7" s="1" t="s">
        <v>117</v>
      </c>
      <c r="B7" s="58">
        <f>IS_ORIG!C10+IS_ORIG!C11</f>
        <v>97519458.939999998</v>
      </c>
      <c r="C7" s="58">
        <f>IS_ORIG!D10+IS_ORIG!D11</f>
        <v>101448757.86</v>
      </c>
      <c r="D7" s="58">
        <f>IS_ORIG!E10+IS_ORIG!E11</f>
        <v>255069344.37</v>
      </c>
      <c r="E7" s="54">
        <f>-(IS_ORIG!F10+IS_ORIG!F11)</f>
        <v>211859810.04999998</v>
      </c>
      <c r="F7" s="54">
        <f>-(IS_ORIG!G10+IS_ORIG!G11)</f>
        <v>709957693.58000004</v>
      </c>
      <c r="G7" s="54">
        <f>-(IS_ORIG!H10+IS_ORIG!H11)</f>
        <v>1085334545.72</v>
      </c>
      <c r="H7" s="53">
        <f>H3*Assumption!G6</f>
        <v>399516687.52737361</v>
      </c>
      <c r="I7" s="53">
        <f>I3*Assumption!H6</f>
        <v>459127511.67926908</v>
      </c>
      <c r="J7" s="53">
        <f>J3*Assumption!I6</f>
        <v>447831324.33867449</v>
      </c>
      <c r="K7" s="53">
        <f>K3*Assumption!J6</f>
        <v>474415006.96344787</v>
      </c>
      <c r="L7" s="53">
        <f>L3*Assumption!K6</f>
        <v>442450116.57615185</v>
      </c>
    </row>
    <row r="8" spans="1:12" x14ac:dyDescent="0.4">
      <c r="A8" s="1" t="s">
        <v>120</v>
      </c>
      <c r="B8" s="58">
        <f>IS_ORIG!C12</f>
        <v>0</v>
      </c>
      <c r="C8" s="58">
        <f>IS_ORIG!D12</f>
        <v>0</v>
      </c>
      <c r="D8" s="58">
        <f>IS_ORIG!E12</f>
        <v>0</v>
      </c>
      <c r="E8" s="58">
        <f>IS_ORIG!F12</f>
        <v>0</v>
      </c>
      <c r="F8" s="58">
        <f>IS_ORIG!G12</f>
        <v>0</v>
      </c>
      <c r="G8" s="58">
        <f>IS_ORIG!H12</f>
        <v>0</v>
      </c>
      <c r="H8" s="53">
        <f>H3*Assumption!G7</f>
        <v>0</v>
      </c>
      <c r="I8" s="53">
        <f>I3*Assumption!H7</f>
        <v>0</v>
      </c>
      <c r="J8" s="53">
        <f>J3*Assumption!I7</f>
        <v>0</v>
      </c>
      <c r="K8" s="53">
        <f>K3*Assumption!J7</f>
        <v>0</v>
      </c>
      <c r="L8" s="53">
        <f>L3*Assumption!K7</f>
        <v>0</v>
      </c>
    </row>
    <row r="9" spans="1:12" x14ac:dyDescent="0.4">
      <c r="A9" s="1" t="s">
        <v>64</v>
      </c>
      <c r="B9" s="58">
        <f>IS_ORIG!C13</f>
        <v>0</v>
      </c>
      <c r="C9" s="58">
        <f>IS_ORIG!D13</f>
        <v>3946601.04</v>
      </c>
      <c r="D9" s="58">
        <f>IS_ORIG!E13</f>
        <v>-1576500.09</v>
      </c>
      <c r="E9" s="58">
        <f>IS_ORIG!F13</f>
        <v>1439775.98</v>
      </c>
      <c r="F9" s="58">
        <f>IS_ORIG!G13</f>
        <v>19545450.719999999</v>
      </c>
      <c r="G9" s="58">
        <f>IS_ORIG!H13</f>
        <v>1815179.84</v>
      </c>
      <c r="H9" s="53">
        <f>H3*Assumption!G8</f>
        <v>3955459.02318299</v>
      </c>
      <c r="I9" s="53">
        <f>I3*Assumption!H8</f>
        <v>4191932.5186634585</v>
      </c>
      <c r="J9" s="53">
        <f>J3*Assumption!I8</f>
        <v>4646331.6279040603</v>
      </c>
      <c r="K9" s="53">
        <f>K3*Assumption!J8</f>
        <v>4993272.9651332404</v>
      </c>
      <c r="L9" s="53">
        <f>L3*Assumption!K8</f>
        <v>3186298.9408689342</v>
      </c>
    </row>
    <row r="10" spans="1:12" s="64" customFormat="1" x14ac:dyDescent="0.4">
      <c r="A10" s="61" t="s">
        <v>51</v>
      </c>
      <c r="B10" s="62">
        <f>IS_ORIG!C15</f>
        <v>0</v>
      </c>
      <c r="C10" s="62">
        <f>IS_ORIG!D15</f>
        <v>0</v>
      </c>
      <c r="D10" s="62">
        <f>IS_ORIG!E15</f>
        <v>301021712.45999998</v>
      </c>
      <c r="E10" s="62">
        <f>IS_ORIG!F15</f>
        <v>489743732.30000001</v>
      </c>
      <c r="F10" s="62">
        <f>IS_ORIG!G15</f>
        <v>512323581.16000003</v>
      </c>
      <c r="G10" s="62">
        <f>IS_ORIG!H15</f>
        <v>486834307.63999999</v>
      </c>
      <c r="H10" s="63">
        <f>Assumption!G31*(BS!H15+BS!H20)</f>
        <v>176307574.82889807</v>
      </c>
      <c r="I10" s="63">
        <f>Assumption!H31*(BS!I15+BS!I20)</f>
        <v>227806988.74023885</v>
      </c>
      <c r="J10" s="63">
        <f>Assumption!I31*(BS!J15+BS!J20)</f>
        <v>246209656.62923315</v>
      </c>
      <c r="K10" s="63">
        <f>Assumption!J31*(BS!K15+BS!K20)</f>
        <v>245346898.03716853</v>
      </c>
      <c r="L10" s="63">
        <f>Assumption!K31*(BS!L15+BS!L20)</f>
        <v>215014413.96084011</v>
      </c>
    </row>
    <row r="11" spans="1:12" s="64" customFormat="1" x14ac:dyDescent="0.4">
      <c r="A11" s="65" t="s">
        <v>116</v>
      </c>
      <c r="B11" s="66">
        <f>IS_ORIG!C16</f>
        <v>0</v>
      </c>
      <c r="C11" s="66">
        <f>IS_ORIG!D16</f>
        <v>0</v>
      </c>
      <c r="D11" s="66">
        <f>IS_ORIG!E16</f>
        <v>2782474.2400000002</v>
      </c>
      <c r="E11" s="66">
        <f>IS_ORIG!F16</f>
        <v>29324587.309999999</v>
      </c>
      <c r="F11" s="66">
        <f>IS_ORIG!G16</f>
        <v>22173470.68</v>
      </c>
      <c r="G11" s="66">
        <f>IS_ORIG!H16</f>
        <v>10913197.109999999</v>
      </c>
      <c r="H11" s="67">
        <f ca="1">Assumption!G32*BS!H3</f>
        <v>2253484.1081679733</v>
      </c>
      <c r="I11" s="67">
        <f ca="1">Assumption!H32*BS!I3</f>
        <v>-3226261.3268102841</v>
      </c>
      <c r="J11" s="67">
        <f ca="1">Assumption!I32*BS!J3</f>
        <v>-8809262.6936207525</v>
      </c>
      <c r="K11" s="67">
        <f ca="1">Assumption!J32*BS!K3</f>
        <v>-14456426.598947523</v>
      </c>
      <c r="L11" s="67">
        <f ca="1">Assumption!K32*BS!L3</f>
        <v>-19270285.976971969</v>
      </c>
    </row>
    <row r="12" spans="1:12" s="64" customFormat="1" x14ac:dyDescent="0.4">
      <c r="A12" s="68" t="s">
        <v>53</v>
      </c>
      <c r="B12" s="69">
        <f t="shared" ref="B12:F12" si="0">B13-B10+B11</f>
        <v>183091352.19999999</v>
      </c>
      <c r="C12" s="69">
        <f t="shared" si="0"/>
        <v>446758256.60000002</v>
      </c>
      <c r="D12" s="69">
        <f t="shared" si="0"/>
        <v>34281754.510000043</v>
      </c>
      <c r="E12" s="69">
        <f t="shared" si="0"/>
        <v>40973399.289999962</v>
      </c>
      <c r="F12" s="69">
        <f t="shared" si="0"/>
        <v>22000620.229999952</v>
      </c>
      <c r="G12" s="69">
        <f>G13-G10+G11</f>
        <v>8163558.7300000042</v>
      </c>
      <c r="H12" s="70">
        <f>AVERAGE(B12:G12)</f>
        <v>122544823.5933333</v>
      </c>
      <c r="I12" s="70">
        <f t="shared" ref="I12:L12" si="1">AVERAGE(C12:H12)</f>
        <v>112453735.49222223</v>
      </c>
      <c r="J12" s="70">
        <f t="shared" si="1"/>
        <v>56736315.307592593</v>
      </c>
      <c r="K12" s="70">
        <f t="shared" si="1"/>
        <v>60478742.107191332</v>
      </c>
      <c r="L12" s="70">
        <f t="shared" si="1"/>
        <v>63729632.576723225</v>
      </c>
    </row>
    <row r="13" spans="1:12" x14ac:dyDescent="0.4">
      <c r="A13" s="71" t="s">
        <v>52</v>
      </c>
      <c r="B13" s="72">
        <f>IS_ORIG!C14</f>
        <v>183091352.19999999</v>
      </c>
      <c r="C13" s="72">
        <f>IS_ORIG!D14</f>
        <v>446758256.60000002</v>
      </c>
      <c r="D13" s="72">
        <f>IS_ORIG!E14</f>
        <v>332520992.73000002</v>
      </c>
      <c r="E13" s="72">
        <f>IS_ORIG!F14</f>
        <v>501392544.27999997</v>
      </c>
      <c r="F13" s="72">
        <f>IS_ORIG!G14</f>
        <v>512150730.70999998</v>
      </c>
      <c r="G13" s="72">
        <f>IS_ORIG!H14</f>
        <v>484084669.25999999</v>
      </c>
      <c r="H13" s="73">
        <f ca="1">H10-H11+H12</f>
        <v>296598914.31406343</v>
      </c>
      <c r="I13" s="73">
        <f t="shared" ref="I13:L13" ca="1" si="2">I10-I11+I12</f>
        <v>343486985.55927134</v>
      </c>
      <c r="J13" s="73">
        <f t="shared" ca="1" si="2"/>
        <v>311755234.63044649</v>
      </c>
      <c r="K13" s="73">
        <f t="shared" ca="1" si="2"/>
        <v>320282066.74330741</v>
      </c>
      <c r="L13" s="73">
        <f t="shared" ca="1" si="2"/>
        <v>298014332.51453531</v>
      </c>
    </row>
    <row r="14" spans="1:12" x14ac:dyDescent="0.4">
      <c r="A14" s="1" t="s">
        <v>115</v>
      </c>
      <c r="B14" s="53">
        <f>B15-(B3-B4-B5+B6-B7+B8+B9+B13)</f>
        <v>-366182704.39999992</v>
      </c>
      <c r="C14" s="53">
        <f t="shared" ref="C14:G14" si="3">C15-(C3-C4-C5+C6-C7+C8+C9+C13)</f>
        <v>-882373301.96000004</v>
      </c>
      <c r="D14" s="53">
        <f t="shared" si="3"/>
        <v>-654903212.16999948</v>
      </c>
      <c r="E14" s="53">
        <f t="shared" si="3"/>
        <v>-988495136.17000151</v>
      </c>
      <c r="F14" s="53">
        <f t="shared" si="3"/>
        <v>-1005257693.7599993</v>
      </c>
      <c r="G14" s="53">
        <f t="shared" si="3"/>
        <v>-955194774.84000015</v>
      </c>
      <c r="H14" s="74">
        <f>H3*Assumption!G9</f>
        <v>-677122019.60832965</v>
      </c>
      <c r="I14" s="74">
        <f>I3*Assumption!H9</f>
        <v>-692745589.44884872</v>
      </c>
      <c r="J14" s="74">
        <f>J3*Assumption!I9</f>
        <v>-637149005.24351013</v>
      </c>
      <c r="K14" s="74">
        <f>K3*Assumption!J9</f>
        <v>-610521973.31740391</v>
      </c>
      <c r="L14" s="74">
        <f>L3*Assumption!K9</f>
        <v>-558227256.77138913</v>
      </c>
    </row>
    <row r="15" spans="1:12" s="39" customFormat="1" ht="12.75" x14ac:dyDescent="0.4">
      <c r="A15" s="39" t="s">
        <v>12</v>
      </c>
      <c r="B15" s="55">
        <f>IS_ORIG!C17</f>
        <v>-360039973.88999999</v>
      </c>
      <c r="C15" s="55">
        <f>IS_ORIG!D17</f>
        <v>275913083.79000002</v>
      </c>
      <c r="D15" s="55">
        <f>IS_ORIG!E17</f>
        <v>210409820.40000001</v>
      </c>
      <c r="E15" s="55">
        <f>IS_ORIG!F17</f>
        <v>213155501.00999999</v>
      </c>
      <c r="F15" s="55">
        <f>IS_ORIG!G17</f>
        <v>-1670409307.9100001</v>
      </c>
      <c r="G15" s="55">
        <f>IS_ORIG!H17</f>
        <v>-855502413.98000002</v>
      </c>
      <c r="H15" s="56">
        <f ca="1">H3-H4-H5+H6-H7+H8+H9-H13+H14</f>
        <v>-982083083.69222951</v>
      </c>
      <c r="I15" s="56">
        <f t="shared" ref="I15:L15" ca="1" si="4">I3-I4-I5+I6-I7+I8+I9-I13+I14</f>
        <v>-1131637407.7608683</v>
      </c>
      <c r="J15" s="56">
        <f t="shared" ca="1" si="4"/>
        <v>-1125591234.7403529</v>
      </c>
      <c r="K15" s="56">
        <f t="shared" ca="1" si="4"/>
        <v>-1191505534.9531589</v>
      </c>
      <c r="L15" s="56">
        <f t="shared" ca="1" si="4"/>
        <v>-1003498328.1487768</v>
      </c>
    </row>
    <row r="16" spans="1:12" x14ac:dyDescent="0.4">
      <c r="A16" s="1" t="s">
        <v>19</v>
      </c>
      <c r="B16" s="58">
        <f>IS_ORIG!C18-IS_ORIG!C19</f>
        <v>16683178.75</v>
      </c>
      <c r="C16" s="58">
        <f>IS_ORIG!D18-IS_ORIG!D19</f>
        <v>-8711726.7100000009</v>
      </c>
      <c r="D16" s="58">
        <f>IS_ORIG!E18-IS_ORIG!E19</f>
        <v>-8907585.0700000003</v>
      </c>
      <c r="E16" s="58">
        <f>IS_ORIG!F18-IS_ORIG!F19</f>
        <v>-36790736.329999998</v>
      </c>
      <c r="F16" s="58">
        <f>IS_ORIG!G18-IS_ORIG!G19</f>
        <v>-4430763.22</v>
      </c>
      <c r="G16" s="58">
        <f>IS_ORIG!H18-IS_ORIG!H19</f>
        <v>-2480148.4800000004</v>
      </c>
      <c r="H16" s="53">
        <f>Assumption!G10*IS!$H$3</f>
        <v>-8073660.4093280062</v>
      </c>
      <c r="I16" s="53">
        <f>Assumption!H10*IS!$I$3</f>
        <v>-8477455.0259872451</v>
      </c>
      <c r="J16" s="53">
        <f>Assumption!I10*IS!$J$3</f>
        <v>-7669574.3314040592</v>
      </c>
      <c r="K16" s="53">
        <f>Assumption!J10*IS!$K$3</f>
        <v>-5014147.9430610277</v>
      </c>
      <c r="L16" s="53">
        <f>Assumption!K10*IS!$L$3</f>
        <v>-5050592.3377400106</v>
      </c>
    </row>
    <row r="17" spans="1:12" s="39" customFormat="1" ht="12.75" x14ac:dyDescent="0.4">
      <c r="A17" s="39" t="s">
        <v>13</v>
      </c>
      <c r="B17" s="55">
        <f>IS_ORIG!C20</f>
        <v>-343356795.13999999</v>
      </c>
      <c r="C17" s="55">
        <f>IS_ORIG!D20</f>
        <v>267201357.08000001</v>
      </c>
      <c r="D17" s="55">
        <f>IS_ORIG!E20</f>
        <v>201502235.33000001</v>
      </c>
      <c r="E17" s="55">
        <f>IS_ORIG!F20</f>
        <v>176364764.68000001</v>
      </c>
      <c r="F17" s="55">
        <f>IS_ORIG!G20</f>
        <v>-1674840071.1300001</v>
      </c>
      <c r="G17" s="55">
        <f>IS_ORIG!H20</f>
        <v>-857982562.46000004</v>
      </c>
      <c r="H17" s="56">
        <f ca="1">H15+H16</f>
        <v>-990156744.10155749</v>
      </c>
      <c r="I17" s="56">
        <f t="shared" ref="I17:L17" ca="1" si="5">I15+I16</f>
        <v>-1140114862.7868555</v>
      </c>
      <c r="J17" s="56">
        <f t="shared" ca="1" si="5"/>
        <v>-1133260809.0717568</v>
      </c>
      <c r="K17" s="56">
        <f t="shared" ca="1" si="5"/>
        <v>-1196519682.89622</v>
      </c>
      <c r="L17" s="56">
        <f t="shared" ca="1" si="5"/>
        <v>-1008548920.4865168</v>
      </c>
    </row>
    <row r="18" spans="1:12" x14ac:dyDescent="0.4">
      <c r="A18" s="1" t="s">
        <v>191</v>
      </c>
      <c r="B18" s="58">
        <f>IS_ORIG!C21</f>
        <v>-37460936.560000002</v>
      </c>
      <c r="C18" s="58">
        <f>IS_ORIG!D21</f>
        <v>-53315271.990000002</v>
      </c>
      <c r="D18" s="58">
        <f>IS_ORIG!E21</f>
        <v>16014110.24</v>
      </c>
      <c r="E18" s="58">
        <f>IS_ORIG!F21</f>
        <v>37524519.909999996</v>
      </c>
      <c r="F18" s="58">
        <f>IS_ORIG!G21</f>
        <v>-272919580.38999999</v>
      </c>
      <c r="G18" s="58">
        <f>IS_ORIG!H21</f>
        <v>-34739081.530000001</v>
      </c>
      <c r="H18" s="53">
        <f ca="1">H17*Assumption!G11</f>
        <v>-58646952.35145513</v>
      </c>
      <c r="I18" s="53">
        <f ca="1">I17*Assumption!H11</f>
        <v>-126532683.44172326</v>
      </c>
      <c r="J18" s="53">
        <f ca="1">J17*Assumption!I11</f>
        <v>-132913539.22421895</v>
      </c>
      <c r="K18" s="53">
        <f ca="1">K17*Assumption!J11</f>
        <v>-117483494.09191437</v>
      </c>
      <c r="L18" s="53">
        <f ca="1">L17*Assumption!K11</f>
        <v>-85963358.658240572</v>
      </c>
    </row>
    <row r="19" spans="1:12" s="39" customFormat="1" ht="12.75" x14ac:dyDescent="0.4">
      <c r="A19" s="39" t="s">
        <v>14</v>
      </c>
      <c r="B19" s="55">
        <f>IS_ORIG!C22</f>
        <v>-305895858.57999998</v>
      </c>
      <c r="C19" s="55">
        <f>IS_ORIG!D22</f>
        <v>320516629.06999999</v>
      </c>
      <c r="D19" s="55">
        <f>IS_ORIG!E22</f>
        <v>185488125.09</v>
      </c>
      <c r="E19" s="55">
        <f>IS_ORIG!F22</f>
        <v>138840244.77000001</v>
      </c>
      <c r="F19" s="55">
        <f>IS_ORIG!G22</f>
        <v>-1401920490.74</v>
      </c>
      <c r="G19" s="55">
        <f>IS_ORIG!H22</f>
        <v>-823243480.92999995</v>
      </c>
      <c r="H19" s="56">
        <f ca="1">H17-H18</f>
        <v>-931509791.7501024</v>
      </c>
      <c r="I19" s="56">
        <f t="shared" ref="I19:L19" ca="1" si="6">I17-I18</f>
        <v>-1013582179.3451322</v>
      </c>
      <c r="J19" s="56">
        <f t="shared" ca="1" si="6"/>
        <v>-1000347269.8475379</v>
      </c>
      <c r="K19" s="56">
        <f t="shared" ca="1" si="6"/>
        <v>-1079036188.8043056</v>
      </c>
      <c r="L19" s="56">
        <f t="shared" ca="1" si="6"/>
        <v>-922585561.82827628</v>
      </c>
    </row>
    <row r="20" spans="1:12" s="39" customFormat="1" ht="12.75" x14ac:dyDescent="0.4">
      <c r="A20" s="39" t="s">
        <v>195</v>
      </c>
      <c r="B20" s="55">
        <f>IS_ORIG!C23</f>
        <v>-299710879.83999997</v>
      </c>
      <c r="C20" s="55">
        <f>IS_ORIG!D23</f>
        <v>225145578.55000001</v>
      </c>
      <c r="D20" s="55">
        <f>IS_ORIG!E23</f>
        <v>74602746.530000001</v>
      </c>
      <c r="E20" s="55">
        <f>IS_ORIG!F23</f>
        <v>42391860.990000002</v>
      </c>
      <c r="F20" s="55">
        <f>IS_ORIG!G23</f>
        <v>-1159517303.6600001</v>
      </c>
      <c r="G20" s="55">
        <f>IS_ORIG!H23</f>
        <v>-693319761.12</v>
      </c>
      <c r="H20" s="56">
        <f ca="1">H19*H21</f>
        <v>-784499557.24828506</v>
      </c>
      <c r="I20" s="56">
        <f t="shared" ref="I20:L20" ca="1" si="7">I19*I21</f>
        <v>-853619337.09476829</v>
      </c>
      <c r="J20" s="56">
        <f t="shared" ca="1" si="7"/>
        <v>-842473151.90912795</v>
      </c>
      <c r="K20" s="56">
        <f t="shared" ca="1" si="7"/>
        <v>-908743439.81018221</v>
      </c>
      <c r="L20" s="56">
        <f t="shared" ca="1" si="7"/>
        <v>-776983743.15329731</v>
      </c>
    </row>
    <row r="21" spans="1:12" x14ac:dyDescent="0.4">
      <c r="A21" s="1" t="s">
        <v>196</v>
      </c>
      <c r="B21" s="75">
        <f>B20/B19</f>
        <v>0.97978076993682972</v>
      </c>
      <c r="C21" s="75">
        <f t="shared" ref="C21:G21" si="8">C20/C19</f>
        <v>0.70244585812372562</v>
      </c>
      <c r="D21" s="75">
        <f t="shared" si="8"/>
        <v>0.40219688723362901</v>
      </c>
      <c r="E21" s="75">
        <f t="shared" si="8"/>
        <v>0.30532833660892428</v>
      </c>
      <c r="F21" s="75">
        <f t="shared" si="8"/>
        <v>0.82709205787266293</v>
      </c>
      <c r="G21" s="75">
        <f t="shared" si="8"/>
        <v>0.84218068795002421</v>
      </c>
      <c r="H21" s="76">
        <f>G21</f>
        <v>0.84218068795002421</v>
      </c>
      <c r="I21" s="76">
        <f t="shared" ref="I21:L21" si="9">H21</f>
        <v>0.84218068795002421</v>
      </c>
      <c r="J21" s="76">
        <f t="shared" si="9"/>
        <v>0.84218068795002421</v>
      </c>
      <c r="K21" s="76">
        <f t="shared" si="9"/>
        <v>0.84218068795002421</v>
      </c>
      <c r="L21" s="76">
        <f t="shared" si="9"/>
        <v>0.84218068795002421</v>
      </c>
    </row>
    <row r="24" spans="1:12" x14ac:dyDescent="0.4">
      <c r="A24" s="1" t="s">
        <v>36</v>
      </c>
      <c r="B24" s="134">
        <v>0</v>
      </c>
      <c r="C24" s="134">
        <v>0</v>
      </c>
      <c r="D24" s="134">
        <v>0</v>
      </c>
      <c r="E24" s="134">
        <v>126116581.02</v>
      </c>
      <c r="F24" s="134">
        <v>0</v>
      </c>
      <c r="G24" s="131">
        <v>0</v>
      </c>
      <c r="H24" s="53">
        <f ca="1">H25*H20</f>
        <v>0</v>
      </c>
      <c r="I24" s="53">
        <f ca="1">I25*I20</f>
        <v>0</v>
      </c>
      <c r="J24" s="53">
        <f ca="1">J25*J20</f>
        <v>0</v>
      </c>
      <c r="K24" s="53">
        <f ca="1">K25*K20</f>
        <v>0</v>
      </c>
      <c r="L24" s="53">
        <f ca="1">L25*L20</f>
        <v>0</v>
      </c>
    </row>
    <row r="25" spans="1:12" x14ac:dyDescent="0.4">
      <c r="A25" s="60" t="s">
        <v>38</v>
      </c>
      <c r="C25" s="75">
        <f>C24/C20</f>
        <v>0</v>
      </c>
      <c r="D25" s="75">
        <f>D24/D20</f>
        <v>0</v>
      </c>
      <c r="E25" s="75">
        <f>E24/E20</f>
        <v>2.9750187435684925</v>
      </c>
      <c r="F25" s="75">
        <f>F24/F20</f>
        <v>0</v>
      </c>
      <c r="G25" s="75">
        <f>G24/G20</f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D71F-A83A-4618-82FD-03A848237C29}">
  <dimension ref="A1:L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ColWidth="8.796875" defaultRowHeight="13.15" x14ac:dyDescent="0.4"/>
  <cols>
    <col min="1" max="1" width="19.06640625" style="1" customWidth="1"/>
    <col min="2" max="2" width="16.06640625" style="1" customWidth="1"/>
    <col min="3" max="3" width="13.19921875" style="1" customWidth="1"/>
    <col min="4" max="4" width="15.73046875" style="1" customWidth="1"/>
    <col min="5" max="5" width="13.53125" style="1" customWidth="1"/>
    <col min="6" max="6" width="14.46484375" style="1" customWidth="1"/>
    <col min="7" max="7" width="15.33203125" style="1" customWidth="1"/>
    <col min="8" max="8" width="15.3984375" style="1" customWidth="1"/>
    <col min="9" max="9" width="15.19921875" style="1" customWidth="1"/>
    <col min="10" max="10" width="15.33203125" style="1" customWidth="1"/>
    <col min="11" max="11" width="15.3984375" style="1" customWidth="1"/>
    <col min="12" max="12" width="14.796875" style="1" customWidth="1"/>
    <col min="13" max="16384" width="8.796875" style="1"/>
  </cols>
  <sheetData>
    <row r="1" spans="1:12" x14ac:dyDescent="0.4">
      <c r="A1" s="2" t="s">
        <v>18</v>
      </c>
      <c r="B1" s="100" t="s">
        <v>212</v>
      </c>
      <c r="C1" s="100" t="s">
        <v>211</v>
      </c>
      <c r="D1" s="100" t="s">
        <v>210</v>
      </c>
      <c r="E1" s="100" t="s">
        <v>209</v>
      </c>
      <c r="F1" s="100" t="s">
        <v>208</v>
      </c>
      <c r="G1" s="100" t="s">
        <v>207</v>
      </c>
      <c r="H1" s="99" t="s">
        <v>213</v>
      </c>
      <c r="I1" s="99" t="s">
        <v>214</v>
      </c>
      <c r="J1" s="99" t="s">
        <v>215</v>
      </c>
      <c r="K1" s="99" t="s">
        <v>216</v>
      </c>
      <c r="L1" s="99" t="s">
        <v>217</v>
      </c>
    </row>
    <row r="2" spans="1:12" x14ac:dyDescent="0.4">
      <c r="A2" s="2" t="s">
        <v>18</v>
      </c>
      <c r="B2" s="140">
        <v>2016</v>
      </c>
      <c r="C2" s="101">
        <v>2017</v>
      </c>
      <c r="D2" s="101">
        <v>2018</v>
      </c>
      <c r="E2" s="101">
        <v>2019</v>
      </c>
      <c r="F2" s="101">
        <v>2020</v>
      </c>
      <c r="G2" s="101">
        <v>2021</v>
      </c>
      <c r="H2" s="101">
        <v>2022</v>
      </c>
      <c r="I2" s="101">
        <v>2023</v>
      </c>
      <c r="J2" s="101">
        <v>2024</v>
      </c>
      <c r="K2" s="101">
        <v>2025</v>
      </c>
      <c r="L2" s="101">
        <v>2026</v>
      </c>
    </row>
    <row r="3" spans="1:12" x14ac:dyDescent="0.4">
      <c r="A3" s="39" t="s">
        <v>114</v>
      </c>
      <c r="B3" s="78">
        <f>IS_ORIG!C3</f>
        <v>1195145239.0599999</v>
      </c>
      <c r="C3" s="78">
        <f>IS_ORIG!D3</f>
        <v>10403683552.02</v>
      </c>
      <c r="D3" s="78">
        <f>IS_ORIG!E3</f>
        <v>7700163469.1099997</v>
      </c>
      <c r="E3" s="78">
        <f>IS_ORIG!F3</f>
        <v>10779197063.450001</v>
      </c>
      <c r="F3" s="78">
        <f>IS_ORIG!G3</f>
        <v>7712473560.2299995</v>
      </c>
      <c r="G3" s="78">
        <f>IS_ORIG!H3</f>
        <v>6806791172.1499996</v>
      </c>
      <c r="H3" s="56">
        <f>G3*(1+H4)</f>
        <v>6361064517.3972874</v>
      </c>
      <c r="I3" s="56">
        <f t="shared" ref="I3" si="0">H3*(1+I4)</f>
        <v>6253639837.9969959</v>
      </c>
      <c r="J3" s="56">
        <f t="shared" ref="J3" si="1">I3*(1+J4)</f>
        <v>5496472210.4076719</v>
      </c>
      <c r="K3" s="56">
        <f t="shared" ref="K3" si="2">J3*(1+K4)</f>
        <v>5055548434.9527521</v>
      </c>
      <c r="L3" s="56">
        <f t="shared" ref="L3" si="3">K3*(1+L4)</f>
        <v>4697026371.4994345</v>
      </c>
    </row>
    <row r="4" spans="1:12" x14ac:dyDescent="0.4">
      <c r="A4" s="1" t="s">
        <v>122</v>
      </c>
      <c r="C4" s="76">
        <f>C3/B3-1</f>
        <v>7.7049533496051552</v>
      </c>
      <c r="D4" s="76">
        <f t="shared" ref="D4:G4" si="4">D3/C3-1</f>
        <v>-0.25986181426914701</v>
      </c>
      <c r="E4" s="76">
        <f t="shared" si="4"/>
        <v>0.39986600371431891</v>
      </c>
      <c r="F4" s="76">
        <f t="shared" si="4"/>
        <v>-0.28450389070431026</v>
      </c>
      <c r="G4" s="76">
        <f t="shared" si="4"/>
        <v>-0.11743085807777998</v>
      </c>
      <c r="H4" s="135">
        <f>AVERAGE(D4:G4)</f>
        <v>-6.5482639834229583E-2</v>
      </c>
      <c r="I4" s="135">
        <f t="shared" ref="I4:L4" si="5">AVERAGE(E4:H4)</f>
        <v>-1.6887846225500228E-2</v>
      </c>
      <c r="J4" s="135">
        <f t="shared" si="5"/>
        <v>-0.12107630871045501</v>
      </c>
      <c r="K4" s="135">
        <f t="shared" si="5"/>
        <v>-8.0219413211991192E-2</v>
      </c>
      <c r="L4" s="135">
        <f t="shared" si="5"/>
        <v>-7.0916551995544003E-2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A71-3815-47A5-8225-19A5FC8CC1EC}">
  <dimension ref="A1:L32"/>
  <sheetViews>
    <sheetView zoomScale="115" zoomScaleNormal="115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G32" sqref="G32:K32"/>
    </sheetView>
  </sheetViews>
  <sheetFormatPr defaultColWidth="8.796875" defaultRowHeight="13.15" x14ac:dyDescent="0.4"/>
  <cols>
    <col min="1" max="1" width="39" style="1" customWidth="1"/>
    <col min="2" max="2" width="8.9296875" style="1" customWidth="1"/>
    <col min="3" max="3" width="8.46484375" style="1" customWidth="1"/>
    <col min="4" max="4" width="8.19921875" style="1" customWidth="1"/>
    <col min="5" max="5" width="8.265625" style="1" customWidth="1"/>
    <col min="6" max="6" width="12.73046875" style="1" customWidth="1"/>
    <col min="7" max="7" width="14.06640625" style="1" customWidth="1"/>
    <col min="8" max="8" width="13.6640625" style="1" customWidth="1"/>
    <col min="9" max="9" width="13.53125" style="1" customWidth="1"/>
    <col min="10" max="10" width="13.33203125" style="1" customWidth="1"/>
    <col min="11" max="11" width="13.73046875" style="1" customWidth="1"/>
    <col min="12" max="16384" width="8.796875" style="1"/>
  </cols>
  <sheetData>
    <row r="1" spans="1:11" x14ac:dyDescent="0.4">
      <c r="A1" s="39" t="s">
        <v>22</v>
      </c>
      <c r="B1" s="100" t="s">
        <v>211</v>
      </c>
      <c r="C1" s="100" t="s">
        <v>210</v>
      </c>
      <c r="D1" s="100" t="s">
        <v>209</v>
      </c>
      <c r="E1" s="100" t="s">
        <v>208</v>
      </c>
      <c r="F1" s="100" t="s">
        <v>207</v>
      </c>
      <c r="G1" s="99" t="s">
        <v>213</v>
      </c>
      <c r="H1" s="99" t="s">
        <v>214</v>
      </c>
      <c r="I1" s="99" t="s">
        <v>215</v>
      </c>
      <c r="J1" s="99" t="s">
        <v>216</v>
      </c>
      <c r="K1" s="99" t="s">
        <v>217</v>
      </c>
    </row>
    <row r="2" spans="1:11" x14ac:dyDescent="0.4">
      <c r="A2" s="140"/>
      <c r="B2" s="101">
        <v>2017</v>
      </c>
      <c r="C2" s="101">
        <v>2018</v>
      </c>
      <c r="D2" s="101">
        <v>2019</v>
      </c>
      <c r="E2" s="101">
        <v>2020</v>
      </c>
      <c r="F2" s="101">
        <v>2021</v>
      </c>
      <c r="G2" s="101">
        <v>2022</v>
      </c>
      <c r="H2" s="101">
        <v>2023</v>
      </c>
      <c r="I2" s="101">
        <v>2024</v>
      </c>
      <c r="J2" s="101">
        <v>2025</v>
      </c>
      <c r="K2" s="101">
        <v>2026</v>
      </c>
    </row>
    <row r="3" spans="1:11" x14ac:dyDescent="0.4">
      <c r="A3" s="1" t="s">
        <v>23</v>
      </c>
      <c r="B3" s="76">
        <f>IS!C4/IS!C3</f>
        <v>0.89212627880227147</v>
      </c>
      <c r="C3" s="76">
        <f>IS!D4/IS!D3</f>
        <v>0.85169747398726481</v>
      </c>
      <c r="D3" s="76">
        <f>IS!E4/IS!E3</f>
        <v>0.86092317684651487</v>
      </c>
      <c r="E3" s="76">
        <f>IS!F4/IS!F3</f>
        <v>0.99703623881216685</v>
      </c>
      <c r="F3" s="76">
        <f>IS!G4/IS!G3</f>
        <v>0.83308471386362037</v>
      </c>
      <c r="G3" s="77">
        <f>AVERAGE(B3:F3)</f>
        <v>0.88697357646236763</v>
      </c>
      <c r="H3" s="77">
        <f t="shared" ref="H3:K3" si="0">AVERAGE(C3:G3)</f>
        <v>0.88594303599438695</v>
      </c>
      <c r="I3" s="77">
        <f t="shared" si="0"/>
        <v>0.89279214839581145</v>
      </c>
      <c r="J3" s="77">
        <f t="shared" si="0"/>
        <v>0.89916594270567063</v>
      </c>
      <c r="K3" s="77">
        <f t="shared" si="0"/>
        <v>0.87959188348437145</v>
      </c>
    </row>
    <row r="4" spans="1:11" x14ac:dyDescent="0.4">
      <c r="A4" s="1" t="s">
        <v>24</v>
      </c>
      <c r="B4" s="76">
        <f>IS!C5/IS!C3</f>
        <v>4.299750202928318E-2</v>
      </c>
      <c r="C4" s="76">
        <f>IS!D5/IS!D3</f>
        <v>5.7278046103737774E-2</v>
      </c>
      <c r="D4" s="76">
        <f>IS!E5/IS!E3</f>
        <v>4.231343929285384E-2</v>
      </c>
      <c r="E4" s="76">
        <f>IS!F5/IS!F3</f>
        <v>7.6273394716500936E-2</v>
      </c>
      <c r="F4" s="76">
        <f>IS!G5/IS!G3</f>
        <v>7.5819407121166055E-2</v>
      </c>
      <c r="G4" s="77">
        <f t="shared" ref="G4:G11" si="1">AVERAGE(B4:F4)</f>
        <v>5.8936357852708357E-2</v>
      </c>
      <c r="H4" s="77">
        <f t="shared" ref="H4:H11" si="2">AVERAGE(C4:G4)</f>
        <v>6.2124129017393392E-2</v>
      </c>
      <c r="I4" s="77">
        <f t="shared" ref="I4:I11" si="3">AVERAGE(D4:H4)</f>
        <v>6.3093345600124515E-2</v>
      </c>
      <c r="J4" s="77">
        <f t="shared" ref="J4:J11" si="4">AVERAGE(E4:I4)</f>
        <v>6.7249326861578654E-2</v>
      </c>
      <c r="K4" s="77">
        <f t="shared" ref="K4:K11" si="5">AVERAGE(F4:J4)</f>
        <v>6.5444513290594197E-2</v>
      </c>
    </row>
    <row r="5" spans="1:11" x14ac:dyDescent="0.4">
      <c r="A5" s="1" t="s">
        <v>25</v>
      </c>
      <c r="B5" s="76">
        <f>IS!C6/IS!C3</f>
        <v>1.2887611490640449E-2</v>
      </c>
      <c r="C5" s="76">
        <f>IS!D6/IS!D3</f>
        <v>1.1497744127792264E-2</v>
      </c>
      <c r="D5" s="76">
        <f>IS!E6/IS!E3</f>
        <v>-1.2278600661155258E-2</v>
      </c>
      <c r="E5" s="76">
        <f>IS!F6/IS!F3</f>
        <v>1.0179420089663003E-2</v>
      </c>
      <c r="F5" s="76">
        <f>IS!G6/IS!G3</f>
        <v>1.1614346669464395E-2</v>
      </c>
      <c r="G5" s="77">
        <f t="shared" si="1"/>
        <v>6.7801043432809708E-3</v>
      </c>
      <c r="H5" s="77">
        <f t="shared" si="2"/>
        <v>5.5586029138090746E-3</v>
      </c>
      <c r="I5" s="77">
        <f t="shared" si="3"/>
        <v>4.3707746710124366E-3</v>
      </c>
      <c r="J5" s="77">
        <f t="shared" si="4"/>
        <v>7.7006497374459762E-3</v>
      </c>
      <c r="K5" s="77">
        <f t="shared" si="5"/>
        <v>7.2048956670025697E-3</v>
      </c>
    </row>
    <row r="6" spans="1:11" x14ac:dyDescent="0.4">
      <c r="A6" s="1" t="s">
        <v>199</v>
      </c>
      <c r="B6" s="76">
        <f>IS!C7/IS!C3</f>
        <v>9.7512344885098412E-3</v>
      </c>
      <c r="C6" s="76">
        <f>IS!D7/IS!D3</f>
        <v>3.3125185639660382E-2</v>
      </c>
      <c r="D6" s="76">
        <f>IS!E7/IS!E3</f>
        <v>1.9654507548467801E-2</v>
      </c>
      <c r="E6" s="76">
        <f>IS!F7/IS!F3</f>
        <v>9.2053176978259599E-2</v>
      </c>
      <c r="F6" s="76">
        <f>IS!G7/IS!G3</f>
        <v>0.15944877964827958</v>
      </c>
      <c r="G6" s="77">
        <f t="shared" si="1"/>
        <v>6.2806576860635441E-2</v>
      </c>
      <c r="H6" s="77">
        <f t="shared" si="2"/>
        <v>7.3417645335060566E-2</v>
      </c>
      <c r="I6" s="77">
        <f t="shared" si="3"/>
        <v>8.1476137274140603E-2</v>
      </c>
      <c r="J6" s="77">
        <f t="shared" si="4"/>
        <v>9.3840463219275166E-2</v>
      </c>
      <c r="K6" s="77">
        <f t="shared" si="5"/>
        <v>9.4197920467478283E-2</v>
      </c>
    </row>
    <row r="7" spans="1:11" x14ac:dyDescent="0.4">
      <c r="A7" s="1" t="s">
        <v>200</v>
      </c>
      <c r="B7" s="76">
        <f>IS!C8/IS!C3</f>
        <v>0</v>
      </c>
      <c r="C7" s="76">
        <f>IS!D8/IS!D3</f>
        <v>0</v>
      </c>
      <c r="D7" s="76">
        <f>IS!E8/IS!E3</f>
        <v>0</v>
      </c>
      <c r="E7" s="76">
        <f>IS!F8/IS!F3</f>
        <v>0</v>
      </c>
      <c r="F7" s="76">
        <f>IS!G8/IS!G3</f>
        <v>0</v>
      </c>
      <c r="G7" s="77">
        <f t="shared" si="1"/>
        <v>0</v>
      </c>
      <c r="H7" s="77">
        <f t="shared" si="2"/>
        <v>0</v>
      </c>
      <c r="I7" s="77">
        <f t="shared" si="3"/>
        <v>0</v>
      </c>
      <c r="J7" s="77">
        <f t="shared" si="4"/>
        <v>0</v>
      </c>
      <c r="K7" s="77">
        <f t="shared" si="5"/>
        <v>0</v>
      </c>
    </row>
    <row r="8" spans="1:11" x14ac:dyDescent="0.4">
      <c r="A8" s="1" t="s">
        <v>201</v>
      </c>
      <c r="B8" s="76">
        <f>IS!C9/IS!C3</f>
        <v>3.7934650936530262E-4</v>
      </c>
      <c r="C8" s="76">
        <f>IS!D9/IS!D3</f>
        <v>-2.0473592493513843E-4</v>
      </c>
      <c r="D8" s="76">
        <f>IS!E9/IS!E3</f>
        <v>1.3356987273959196E-4</v>
      </c>
      <c r="E8" s="76">
        <f>IS!F9/IS!F3</f>
        <v>2.5342648590444073E-3</v>
      </c>
      <c r="F8" s="76">
        <f>IS!G9/IS!G3</f>
        <v>2.6667188607560228E-4</v>
      </c>
      <c r="G8" s="77">
        <f t="shared" si="1"/>
        <v>6.2182344045795307E-4</v>
      </c>
      <c r="H8" s="77">
        <f t="shared" si="2"/>
        <v>6.7031882667648317E-4</v>
      </c>
      <c r="I8" s="77">
        <f t="shared" si="3"/>
        <v>8.4532977699880755E-4</v>
      </c>
      <c r="J8" s="77">
        <f t="shared" si="4"/>
        <v>9.8768175785065074E-4</v>
      </c>
      <c r="K8" s="77">
        <f t="shared" si="5"/>
        <v>6.7836513761189931E-4</v>
      </c>
    </row>
    <row r="9" spans="1:11" x14ac:dyDescent="0.4">
      <c r="A9" s="1" t="s">
        <v>202</v>
      </c>
      <c r="B9" s="76">
        <f>IS!C14/IS!C3</f>
        <v>-8.4813546812338075E-2</v>
      </c>
      <c r="C9" s="76">
        <f>IS!D14/IS!D3</f>
        <v>-8.505055961437849E-2</v>
      </c>
      <c r="D9" s="76">
        <f>IS!E14/IS!E3</f>
        <v>-9.170396740604933E-2</v>
      </c>
      <c r="E9" s="76">
        <f>IS!F14/IS!F3</f>
        <v>-0.13034180096819944</v>
      </c>
      <c r="F9" s="76">
        <f>IS!G14/IS!G3</f>
        <v>-0.14032967233491481</v>
      </c>
      <c r="G9" s="77">
        <f t="shared" si="1"/>
        <v>-0.10644790942717604</v>
      </c>
      <c r="H9" s="77">
        <f t="shared" si="2"/>
        <v>-0.11077478195014363</v>
      </c>
      <c r="I9" s="77">
        <f t="shared" si="3"/>
        <v>-0.11591962641729665</v>
      </c>
      <c r="J9" s="77">
        <f t="shared" si="4"/>
        <v>-0.12076275821954612</v>
      </c>
      <c r="K9" s="77">
        <f t="shared" si="5"/>
        <v>-0.11884694966981543</v>
      </c>
    </row>
    <row r="10" spans="1:11" x14ac:dyDescent="0.4">
      <c r="A10" s="1" t="s">
        <v>26</v>
      </c>
      <c r="B10" s="76">
        <f>IS!C16/IS!C3</f>
        <v>-8.3736944385515405E-4</v>
      </c>
      <c r="C10" s="76">
        <f>IS!D16/IS!D3</f>
        <v>-1.1568046711909036E-3</v>
      </c>
      <c r="D10" s="76">
        <f>IS!E16/IS!E3</f>
        <v>-3.4131240122466707E-3</v>
      </c>
      <c r="E10" s="76">
        <f>IS!F16/IS!F3</f>
        <v>-5.7449314871529575E-4</v>
      </c>
      <c r="F10" s="76">
        <f>IS!G16/IS!G3</f>
        <v>-3.6436382684215923E-4</v>
      </c>
      <c r="G10" s="77">
        <f t="shared" si="1"/>
        <v>-1.2692310205700366E-3</v>
      </c>
      <c r="H10" s="77">
        <f t="shared" si="2"/>
        <v>-1.3556033359130135E-3</v>
      </c>
      <c r="I10" s="77">
        <f t="shared" si="3"/>
        <v>-1.3953630688574351E-3</v>
      </c>
      <c r="J10" s="77">
        <f t="shared" si="4"/>
        <v>-9.9181088017958794E-4</v>
      </c>
      <c r="K10" s="77">
        <f t="shared" si="5"/>
        <v>-1.0752744264724465E-3</v>
      </c>
    </row>
    <row r="11" spans="1:11" x14ac:dyDescent="0.4">
      <c r="A11" s="120" t="s">
        <v>27</v>
      </c>
      <c r="B11" s="76">
        <f>IS!C18/IS!C17</f>
        <v>-0.19953219015290188</v>
      </c>
      <c r="C11" s="76">
        <f>IS!D18/IS!D17</f>
        <v>7.9473610869743985E-2</v>
      </c>
      <c r="D11" s="76">
        <f>IS!E18/IS!E17</f>
        <v>0.21276653518680608</v>
      </c>
      <c r="E11" s="76">
        <f>IS!F18/IS!F17</f>
        <v>0.16295262162306848</v>
      </c>
      <c r="F11" s="76">
        <f>IS!G18/IS!G17</f>
        <v>4.048926289410406E-2</v>
      </c>
      <c r="G11" s="77">
        <f t="shared" si="1"/>
        <v>5.9229968084164142E-2</v>
      </c>
      <c r="H11" s="77">
        <f t="shared" si="2"/>
        <v>0.11098239973157735</v>
      </c>
      <c r="I11" s="77">
        <f t="shared" si="3"/>
        <v>0.11728415750394401</v>
      </c>
      <c r="J11" s="77">
        <f t="shared" si="4"/>
        <v>9.8187681967371612E-2</v>
      </c>
      <c r="K11" s="77">
        <f t="shared" si="5"/>
        <v>8.5234694036232225E-2</v>
      </c>
    </row>
    <row r="12" spans="1:11" x14ac:dyDescent="0.4">
      <c r="B12" s="79"/>
      <c r="C12" s="79"/>
      <c r="D12" s="79"/>
      <c r="E12" s="79"/>
      <c r="F12" s="79"/>
      <c r="G12" s="80"/>
      <c r="H12" s="80"/>
      <c r="I12" s="80"/>
      <c r="J12" s="80"/>
      <c r="K12" s="80"/>
    </row>
    <row r="14" spans="1:11" x14ac:dyDescent="0.4">
      <c r="A14" s="81" t="s">
        <v>29</v>
      </c>
    </row>
    <row r="15" spans="1:11" x14ac:dyDescent="0.4">
      <c r="A15" s="2" t="s">
        <v>33</v>
      </c>
      <c r="B15" s="76">
        <f>BS!C4/IS!C3</f>
        <v>0.64209780669683691</v>
      </c>
      <c r="C15" s="76">
        <f>BS!D4/IS!D3</f>
        <v>1.0098591241555519</v>
      </c>
      <c r="D15" s="76">
        <f>BS!E4/IS!E3</f>
        <v>0.63626611847792691</v>
      </c>
      <c r="E15" s="76">
        <f>BS!F4/IS!F3</f>
        <v>0.82489931123864668</v>
      </c>
      <c r="F15" s="76">
        <f>BS!G4/IS!G3</f>
        <v>0.71935205292825122</v>
      </c>
      <c r="G15" s="77">
        <f>AVERAGE(B15:F15)</f>
        <v>0.76649488269944277</v>
      </c>
      <c r="H15" s="77">
        <f t="shared" ref="H15:K15" si="6">AVERAGE(C15:G15)</f>
        <v>0.79137429789996383</v>
      </c>
      <c r="I15" s="77">
        <f t="shared" si="6"/>
        <v>0.74767733264884628</v>
      </c>
      <c r="J15" s="77">
        <f t="shared" si="6"/>
        <v>0.76995957548303007</v>
      </c>
      <c r="K15" s="77">
        <f t="shared" si="6"/>
        <v>0.75897162833190679</v>
      </c>
    </row>
    <row r="16" spans="1:11" x14ac:dyDescent="0.4">
      <c r="A16" s="2" t="s">
        <v>233</v>
      </c>
      <c r="B16" s="76">
        <f>BS!C5/IS!C3</f>
        <v>0.71505455719436883</v>
      </c>
      <c r="C16" s="76">
        <f>BS!D5/IS!D3</f>
        <v>0.92382224154290604</v>
      </c>
      <c r="D16" s="76">
        <f>BS!E5/IS!E3</f>
        <v>0.26984066368288934</v>
      </c>
      <c r="E16" s="76">
        <f>BS!F5/IS!F3</f>
        <v>0.24817551207305791</v>
      </c>
      <c r="F16" s="76">
        <f>BS!G5/IS!G3</f>
        <v>0.2741753167918215</v>
      </c>
      <c r="G16" s="77">
        <f t="shared" ref="G16:G25" si="7">AVERAGE(B16:F16)</f>
        <v>0.4862136582570088</v>
      </c>
      <c r="H16" s="77">
        <f t="shared" ref="H16:H25" si="8">AVERAGE(C16:G16)</f>
        <v>0.44044547846953674</v>
      </c>
      <c r="I16" s="77">
        <f t="shared" ref="I16:I25" si="9">AVERAGE(D16:H16)</f>
        <v>0.34377012585486283</v>
      </c>
      <c r="J16" s="77">
        <f t="shared" ref="J16:J25" si="10">AVERAGE(E16:I16)</f>
        <v>0.35855601828925754</v>
      </c>
      <c r="K16" s="77">
        <f t="shared" ref="K16:K25" si="11">AVERAGE(F16:J16)</f>
        <v>0.38063211953249748</v>
      </c>
    </row>
    <row r="17" spans="1:12" x14ac:dyDescent="0.4">
      <c r="A17" s="2" t="s">
        <v>239</v>
      </c>
      <c r="B17" s="76">
        <f>BS!C6/IS!C3</f>
        <v>0.19319003593200965</v>
      </c>
      <c r="C17" s="76">
        <f>BS!D6/IS!D3</f>
        <v>0.35599588256881992</v>
      </c>
      <c r="D17" s="76">
        <f>BS!E6/IS!E3</f>
        <v>1.2095316513925125</v>
      </c>
      <c r="E17" s="76">
        <f>BS!F6/IS!F3</f>
        <v>1.7877890380163337</v>
      </c>
      <c r="F17" s="76">
        <f>BS!G6/IS!G3</f>
        <v>2.0450324220352396</v>
      </c>
      <c r="G17" s="77">
        <f t="shared" si="7"/>
        <v>1.1183078059889831</v>
      </c>
      <c r="H17" s="77">
        <f t="shared" si="8"/>
        <v>1.3033313600003777</v>
      </c>
      <c r="I17" s="77">
        <f t="shared" si="9"/>
        <v>1.4927984554866893</v>
      </c>
      <c r="J17" s="77">
        <f t="shared" si="10"/>
        <v>1.5494518163055246</v>
      </c>
      <c r="K17" s="77">
        <f t="shared" si="11"/>
        <v>1.501784371963363</v>
      </c>
    </row>
    <row r="18" spans="1:12" x14ac:dyDescent="0.4">
      <c r="A18" s="2" t="s">
        <v>45</v>
      </c>
      <c r="B18" s="76">
        <f>BS!C9/IS!C3</f>
        <v>0.17654802031857006</v>
      </c>
      <c r="C18" s="76">
        <f>BS!D9/IS!D3</f>
        <v>0.22458140173742019</v>
      </c>
      <c r="D18" s="76">
        <f>BS!E9/IS!E3</f>
        <v>0.13188878171459864</v>
      </c>
      <c r="E18" s="76">
        <f>BS!F9/IS!F3</f>
        <v>0.16911628361823561</v>
      </c>
      <c r="F18" s="76">
        <f>BS!G9/IS!G3</f>
        <v>0.18170935201311972</v>
      </c>
      <c r="G18" s="77">
        <f t="shared" si="7"/>
        <v>0.17676876788038881</v>
      </c>
      <c r="H18" s="77">
        <f t="shared" si="8"/>
        <v>0.17681291739275262</v>
      </c>
      <c r="I18" s="77">
        <f t="shared" si="9"/>
        <v>0.16725922052381909</v>
      </c>
      <c r="J18" s="77">
        <f t="shared" si="10"/>
        <v>0.17433330828566315</v>
      </c>
      <c r="K18" s="77">
        <f t="shared" si="11"/>
        <v>0.17537671321914866</v>
      </c>
    </row>
    <row r="19" spans="1:12" x14ac:dyDescent="0.4">
      <c r="A19" s="2" t="s">
        <v>46</v>
      </c>
      <c r="B19" s="76">
        <f>BS!C10/IS!C3</f>
        <v>2.6048922888218876E-2</v>
      </c>
      <c r="C19" s="76">
        <f>BS!D10/IS!D3</f>
        <v>3.2612165525756666E-2</v>
      </c>
      <c r="D19" s="76">
        <f>BS!E10/IS!E3</f>
        <v>1.992943162607359E-2</v>
      </c>
      <c r="E19" s="76">
        <f>BS!F10/IS!F3</f>
        <v>2.5308326311355173E-2</v>
      </c>
      <c r="F19" s="76">
        <f>BS!G10/IS!G3</f>
        <v>2.767122784677804E-2</v>
      </c>
      <c r="G19" s="77">
        <f t="shared" si="7"/>
        <v>2.6314014839636468E-2</v>
      </c>
      <c r="H19" s="77">
        <f t="shared" si="8"/>
        <v>2.6367033229919991E-2</v>
      </c>
      <c r="I19" s="77">
        <f t="shared" si="9"/>
        <v>2.5118006770752654E-2</v>
      </c>
      <c r="J19" s="77">
        <f t="shared" si="10"/>
        <v>2.6155721799688465E-2</v>
      </c>
      <c r="K19" s="77">
        <f t="shared" si="11"/>
        <v>2.6325200897355128E-2</v>
      </c>
    </row>
    <row r="20" spans="1:12" x14ac:dyDescent="0.4">
      <c r="A20" s="2" t="s">
        <v>34</v>
      </c>
      <c r="B20" s="76">
        <f>BS!C11/IS!C3</f>
        <v>0.29068213696703815</v>
      </c>
      <c r="C20" s="76">
        <f>BS!D11/IS!D3</f>
        <v>0.51601954680570661</v>
      </c>
      <c r="D20" s="76">
        <f>BS!E11/IS!E3</f>
        <v>0.44704303552621949</v>
      </c>
      <c r="E20" s="76">
        <f>BS!F11/IS!F3</f>
        <v>0.59121206167402685</v>
      </c>
      <c r="F20" s="76">
        <f>BS!G11/IS!G3</f>
        <v>0.71999653861013158</v>
      </c>
      <c r="G20" s="77">
        <f t="shared" si="7"/>
        <v>0.51299066391662451</v>
      </c>
      <c r="H20" s="77">
        <f t="shared" si="8"/>
        <v>0.55745236930654185</v>
      </c>
      <c r="I20" s="77">
        <f t="shared" si="9"/>
        <v>0.56573893380670892</v>
      </c>
      <c r="J20" s="77">
        <f t="shared" si="10"/>
        <v>0.58947811346280676</v>
      </c>
      <c r="K20" s="77">
        <f t="shared" si="11"/>
        <v>0.58913132382056277</v>
      </c>
    </row>
    <row r="21" spans="1:12" x14ac:dyDescent="0.4">
      <c r="A21" s="121" t="s">
        <v>234</v>
      </c>
      <c r="B21" s="76">
        <f>BS!C15/IS!C3</f>
        <v>0.29023550181740426</v>
      </c>
      <c r="C21" s="76">
        <f>BS!D15/IS!D3</f>
        <v>0.88920449903012155</v>
      </c>
      <c r="D21" s="76">
        <f>BS!E15/IS!E3</f>
        <v>0.58160584346840571</v>
      </c>
      <c r="E21" s="76">
        <f>BS!F15/IS!F3</f>
        <v>0.68794838258502533</v>
      </c>
      <c r="F21" s="76">
        <f>BS!G15/IS!G3</f>
        <v>0.68972293717615196</v>
      </c>
      <c r="G21" s="77">
        <f t="shared" si="7"/>
        <v>0.62774343281542178</v>
      </c>
      <c r="H21" s="77">
        <f t="shared" si="8"/>
        <v>0.69524501901502522</v>
      </c>
      <c r="I21" s="77">
        <f t="shared" si="9"/>
        <v>0.65645312301200609</v>
      </c>
      <c r="J21" s="77">
        <f t="shared" si="10"/>
        <v>0.67142257892072599</v>
      </c>
      <c r="K21" s="77">
        <f t="shared" si="11"/>
        <v>0.66811741818786619</v>
      </c>
    </row>
    <row r="22" spans="1:12" x14ac:dyDescent="0.4">
      <c r="A22" s="2" t="s">
        <v>236</v>
      </c>
      <c r="B22" s="76">
        <f>BS!C16/IS!C3</f>
        <v>0.72399975091106261</v>
      </c>
      <c r="C22" s="76">
        <f>BS!D16/IS!D3</f>
        <v>1.0051115410689522</v>
      </c>
      <c r="D22" s="76">
        <f>BS!E16/IS!E3</f>
        <v>0.98898093705673618</v>
      </c>
      <c r="E22" s="76">
        <f>BS!F16/IS!F3</f>
        <v>1.2740282067750743</v>
      </c>
      <c r="F22" s="76">
        <f>BS!G16/IS!G3</f>
        <v>1.4104349476902736</v>
      </c>
      <c r="G22" s="77">
        <f t="shared" si="7"/>
        <v>1.0805110767004198</v>
      </c>
      <c r="H22" s="77">
        <f t="shared" si="8"/>
        <v>1.1518133418582912</v>
      </c>
      <c r="I22" s="77">
        <f t="shared" si="9"/>
        <v>1.1811537020161591</v>
      </c>
      <c r="J22" s="77">
        <f t="shared" si="10"/>
        <v>1.2195882550080437</v>
      </c>
      <c r="K22" s="77">
        <f t="shared" si="11"/>
        <v>1.2087002646546376</v>
      </c>
    </row>
    <row r="23" spans="1:12" x14ac:dyDescent="0.4">
      <c r="A23" s="2" t="s">
        <v>237</v>
      </c>
      <c r="B23" s="76">
        <f>BS!C17/IS!C3</f>
        <v>0.49608495428313071</v>
      </c>
      <c r="C23" s="76">
        <f>BS!D17/IS!D3</f>
        <v>0.71691972417022687</v>
      </c>
      <c r="D23" s="76">
        <f>BS!E17/IS!E3</f>
        <v>0.52928463835542561</v>
      </c>
      <c r="E23" s="76">
        <f>BS!F17/IS!F3</f>
        <v>0.93528655307634978</v>
      </c>
      <c r="F23" s="76">
        <f>BS!G17/IS!G3</f>
        <v>1.2014328544160289</v>
      </c>
      <c r="G23" s="77">
        <f t="shared" si="7"/>
        <v>0.77580174486023235</v>
      </c>
      <c r="H23" s="77">
        <f t="shared" si="8"/>
        <v>0.83174510297565285</v>
      </c>
      <c r="I23" s="77">
        <f t="shared" si="9"/>
        <v>0.85471017873673782</v>
      </c>
      <c r="J23" s="77">
        <f t="shared" si="10"/>
        <v>0.91979528681300038</v>
      </c>
      <c r="K23" s="77">
        <f t="shared" si="11"/>
        <v>0.91669703356033039</v>
      </c>
    </row>
    <row r="24" spans="1:12" x14ac:dyDescent="0.4">
      <c r="A24" s="121" t="s">
        <v>235</v>
      </c>
      <c r="B24" s="76">
        <f>BS!C20/IS!C3</f>
        <v>0.24216653001818988</v>
      </c>
      <c r="C24" s="76">
        <f>BS!D20/IS!D3</f>
        <v>8.6485172851398159E-2</v>
      </c>
      <c r="D24" s="76">
        <f>BS!E20/IS!E3</f>
        <v>0.42951498191908677</v>
      </c>
      <c r="E24" s="76">
        <f>BS!F20/IS!F3</f>
        <v>0.63747382232236549</v>
      </c>
      <c r="F24" s="76">
        <f>BS!G20/IS!G3</f>
        <v>0.54805559707242801</v>
      </c>
      <c r="G24" s="77">
        <f t="shared" si="7"/>
        <v>0.38873922083669366</v>
      </c>
      <c r="H24" s="77">
        <f t="shared" si="8"/>
        <v>0.41805375900039438</v>
      </c>
      <c r="I24" s="77">
        <f t="shared" si="9"/>
        <v>0.48436747623019372</v>
      </c>
      <c r="J24" s="77">
        <f t="shared" si="10"/>
        <v>0.49533797509241495</v>
      </c>
      <c r="K24" s="77">
        <f t="shared" si="11"/>
        <v>0.46691080564642495</v>
      </c>
    </row>
    <row r="25" spans="1:12" x14ac:dyDescent="0.4">
      <c r="A25" s="2" t="s">
        <v>238</v>
      </c>
      <c r="B25" s="76">
        <f>BS!C21/IS!C3</f>
        <v>0.11482199105508736</v>
      </c>
      <c r="C25" s="76">
        <f>BS!D21/IS!D3</f>
        <v>9.539719384748381E-2</v>
      </c>
      <c r="D25" s="76">
        <f>BS!E21/IS!E3</f>
        <v>5.7854145112029307E-3</v>
      </c>
      <c r="E25" s="76">
        <f>BS!F21/IS!F3</f>
        <v>5.1673233481803115E-3</v>
      </c>
      <c r="F25" s="76">
        <f>BS!G21/IS!G3</f>
        <v>4.6065982776573979E-3</v>
      </c>
      <c r="G25" s="77">
        <f t="shared" si="7"/>
        <v>4.5155704207922365E-2</v>
      </c>
      <c r="H25" s="77">
        <f t="shared" si="8"/>
        <v>3.1222446838489359E-2</v>
      </c>
      <c r="I25" s="77">
        <f t="shared" si="9"/>
        <v>1.8387497436690471E-2</v>
      </c>
      <c r="J25" s="77">
        <f t="shared" si="10"/>
        <v>2.0907914021787981E-2</v>
      </c>
      <c r="K25" s="77">
        <f t="shared" si="11"/>
        <v>2.4056032156509515E-2</v>
      </c>
    </row>
    <row r="26" spans="1:12" x14ac:dyDescent="0.4">
      <c r="A26" s="82" t="s">
        <v>37</v>
      </c>
      <c r="B26" s="83"/>
      <c r="C26" s="83"/>
      <c r="D26" s="83"/>
      <c r="E26" s="83"/>
      <c r="F26" s="84"/>
      <c r="G26" s="85">
        <f>F29</f>
        <v>-1327527171.3699999</v>
      </c>
      <c r="H26" s="85">
        <f t="shared" ref="H26:K26" ca="1" si="12">G29</f>
        <v>-2112026728.6182849</v>
      </c>
      <c r="I26" s="85">
        <f t="shared" ca="1" si="12"/>
        <v>-2965646065.7130532</v>
      </c>
      <c r="J26" s="85">
        <f t="shared" ca="1" si="12"/>
        <v>-3808119217.6221809</v>
      </c>
      <c r="K26" s="86">
        <f t="shared" ca="1" si="12"/>
        <v>-4716862657.4323635</v>
      </c>
    </row>
    <row r="27" spans="1:12" x14ac:dyDescent="0.4">
      <c r="A27" s="87" t="s">
        <v>35</v>
      </c>
      <c r="B27" s="50"/>
      <c r="C27" s="50"/>
      <c r="D27" s="50"/>
      <c r="E27" s="50"/>
      <c r="F27" s="88"/>
      <c r="G27" s="74">
        <f ca="1">IS!H20</f>
        <v>-784499557.24828506</v>
      </c>
      <c r="H27" s="74">
        <f ca="1">IS!I20</f>
        <v>-853619337.09476829</v>
      </c>
      <c r="I27" s="74">
        <f ca="1">IS!J20</f>
        <v>-842473151.90912795</v>
      </c>
      <c r="J27" s="74">
        <f ca="1">IS!K20</f>
        <v>-908743439.81018221</v>
      </c>
      <c r="K27" s="89">
        <f ca="1">IS!L20</f>
        <v>-776983743.15329731</v>
      </c>
    </row>
    <row r="28" spans="1:12" x14ac:dyDescent="0.4">
      <c r="A28" s="87" t="s">
        <v>36</v>
      </c>
      <c r="B28" s="50"/>
      <c r="C28" s="50"/>
      <c r="D28" s="50"/>
      <c r="E28" s="50"/>
      <c r="F28" s="88"/>
      <c r="G28" s="74">
        <f ca="1">IS!H24</f>
        <v>0</v>
      </c>
      <c r="H28" s="74">
        <f ca="1">IS!I24</f>
        <v>0</v>
      </c>
      <c r="I28" s="74">
        <f ca="1">IS!J24</f>
        <v>0</v>
      </c>
      <c r="J28" s="74">
        <f ca="1">IS!K24</f>
        <v>0</v>
      </c>
      <c r="K28" s="89">
        <f ca="1">IS!L24</f>
        <v>0</v>
      </c>
    </row>
    <row r="29" spans="1:12" x14ac:dyDescent="0.4">
      <c r="A29" s="90" t="s">
        <v>254</v>
      </c>
      <c r="B29" s="91"/>
      <c r="C29" s="91"/>
      <c r="D29" s="91"/>
      <c r="E29" s="91"/>
      <c r="F29" s="92">
        <f>BS!G25</f>
        <v>-1327527171.3699999</v>
      </c>
      <c r="G29" s="92">
        <f ca="1">G26+G27-G28</f>
        <v>-2112026728.6182849</v>
      </c>
      <c r="H29" s="92">
        <f t="shared" ref="H29:K29" ca="1" si="13">H26+H27-H28</f>
        <v>-2965646065.7130532</v>
      </c>
      <c r="I29" s="92">
        <f t="shared" ca="1" si="13"/>
        <v>-3808119217.6221809</v>
      </c>
      <c r="J29" s="92">
        <f t="shared" ca="1" si="13"/>
        <v>-4716862657.4323635</v>
      </c>
      <c r="K29" s="93">
        <f t="shared" ca="1" si="13"/>
        <v>-5493846400.5856609</v>
      </c>
    </row>
    <row r="30" spans="1:12" x14ac:dyDescent="0.4">
      <c r="G30" s="3"/>
      <c r="H30" s="3"/>
      <c r="I30" s="3"/>
      <c r="J30" s="3"/>
      <c r="K30" s="3"/>
    </row>
    <row r="31" spans="1:12" x14ac:dyDescent="0.4">
      <c r="A31" s="2" t="s">
        <v>54</v>
      </c>
      <c r="B31" s="76">
        <f>IF(BS!C15+BS!C20&gt;0,IS!B10/(BS!C15+BS!C20),0)</f>
        <v>0</v>
      </c>
      <c r="C31" s="76">
        <f>IF(BS!D15+BS!D20&gt;0,IS!C10/(BS!D15+BS!D20),0)</f>
        <v>0</v>
      </c>
      <c r="D31" s="76">
        <f>IF(BS!E15+BS!E20&gt;0,IS!D10/(BS!E15+BS!E20),0)</f>
        <v>2.7619025752658097E-2</v>
      </c>
      <c r="E31" s="76">
        <f>IF(BS!F15+BS!F20&gt;0,IS!E10/(BS!F15+BS!F20),0)</f>
        <v>4.7909424755010539E-2</v>
      </c>
      <c r="F31" s="76">
        <f>IF(BS!G15+BS!G20&gt;0,IS!F10/(BS!G15+BS!G20),0)</f>
        <v>6.0807755351144771E-2</v>
      </c>
      <c r="G31" s="94">
        <f>AVERAGE(B31:F31)</f>
        <v>2.7267241171762678E-2</v>
      </c>
      <c r="H31" s="94">
        <f t="shared" ref="H31:K31" si="14">AVERAGE(C31:G31)</f>
        <v>3.2720689406115215E-2</v>
      </c>
      <c r="I31" s="94">
        <f t="shared" si="14"/>
        <v>3.9264827287338259E-2</v>
      </c>
      <c r="J31" s="94">
        <f t="shared" si="14"/>
        <v>4.1593987594274295E-2</v>
      </c>
      <c r="K31" s="94">
        <f t="shared" si="14"/>
        <v>4.0330900162127051E-2</v>
      </c>
      <c r="L31" s="95"/>
    </row>
    <row r="32" spans="1:12" x14ac:dyDescent="0.4">
      <c r="A32" s="2" t="s">
        <v>55</v>
      </c>
      <c r="B32" s="76">
        <f>IS!C11/BS!C3</f>
        <v>0</v>
      </c>
      <c r="C32" s="76">
        <f>IS!D11/BS!D3</f>
        <v>1.2203859182654527E-3</v>
      </c>
      <c r="D32" s="76">
        <f>IS!E11/BS!E3</f>
        <v>1.1428194476267842E-2</v>
      </c>
      <c r="E32" s="76">
        <f>IS!F11/BS!F3</f>
        <v>9.792394344954658E-3</v>
      </c>
      <c r="F32" s="76">
        <f>IS!G11/BS!G3</f>
        <v>7.4572349117683701E-3</v>
      </c>
      <c r="G32" s="94">
        <f>AVERAGE(B32:F32)</f>
        <v>5.979641930251264E-3</v>
      </c>
      <c r="H32" s="94">
        <f t="shared" ref="H32:K32" si="15">AVERAGE(C32:G32)</f>
        <v>7.1755703163015171E-3</v>
      </c>
      <c r="I32" s="94">
        <f t="shared" si="15"/>
        <v>8.3666071959087301E-3</v>
      </c>
      <c r="J32" s="94">
        <f t="shared" si="15"/>
        <v>7.7542897398369089E-3</v>
      </c>
      <c r="K32" s="94">
        <f t="shared" si="15"/>
        <v>7.3466688188133598E-3</v>
      </c>
      <c r="L32" s="95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6753-B5CC-4C35-944D-17D5D8C12938}">
  <dimension ref="A1:L1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L8" sqref="L8"/>
    </sheetView>
  </sheetViews>
  <sheetFormatPr defaultColWidth="8.796875" defaultRowHeight="13.15" x14ac:dyDescent="0.4"/>
  <cols>
    <col min="1" max="1" width="25.19921875" style="1" customWidth="1"/>
    <col min="2" max="2" width="12.53125" style="1" customWidth="1"/>
    <col min="3" max="3" width="13" style="1" customWidth="1"/>
    <col min="4" max="4" width="13.19921875" style="1" customWidth="1"/>
    <col min="5" max="5" width="12.73046875" style="1" customWidth="1"/>
    <col min="6" max="6" width="12.796875" style="1" customWidth="1"/>
    <col min="7" max="7" width="12.9296875" style="1" customWidth="1"/>
    <col min="8" max="8" width="12.73046875" style="1" customWidth="1"/>
    <col min="9" max="9" width="13.265625" style="1" customWidth="1"/>
    <col min="10" max="10" width="12.73046875" style="1" customWidth="1"/>
    <col min="11" max="11" width="12.46484375" style="1" customWidth="1"/>
    <col min="12" max="12" width="12.73046875" style="1" customWidth="1"/>
    <col min="13" max="13" width="14.73046875" style="1" customWidth="1"/>
    <col min="14" max="16384" width="8.796875" style="1"/>
  </cols>
  <sheetData>
    <row r="1" spans="1:12" x14ac:dyDescent="0.4">
      <c r="B1" s="100" t="s">
        <v>212</v>
      </c>
      <c r="C1" s="100" t="s">
        <v>211</v>
      </c>
      <c r="D1" s="100" t="s">
        <v>210</v>
      </c>
      <c r="E1" s="100" t="s">
        <v>209</v>
      </c>
      <c r="F1" s="100" t="s">
        <v>208</v>
      </c>
      <c r="G1" s="100" t="s">
        <v>207</v>
      </c>
      <c r="H1" s="99" t="s">
        <v>213</v>
      </c>
      <c r="I1" s="99" t="s">
        <v>214</v>
      </c>
      <c r="J1" s="99" t="s">
        <v>215</v>
      </c>
      <c r="K1" s="99" t="s">
        <v>216</v>
      </c>
      <c r="L1" s="99" t="s">
        <v>217</v>
      </c>
    </row>
    <row r="2" spans="1:12" s="39" customFormat="1" x14ac:dyDescent="0.4">
      <c r="A2" s="41" t="s">
        <v>41</v>
      </c>
      <c r="B2" s="140">
        <v>2016</v>
      </c>
      <c r="C2" s="101">
        <v>2017</v>
      </c>
      <c r="D2" s="101">
        <v>2018</v>
      </c>
      <c r="E2" s="101">
        <v>2019</v>
      </c>
      <c r="F2" s="101">
        <v>2020</v>
      </c>
      <c r="G2" s="101">
        <v>2021</v>
      </c>
      <c r="H2" s="101">
        <v>2022</v>
      </c>
      <c r="I2" s="101">
        <v>2023</v>
      </c>
      <c r="J2" s="101">
        <v>2024</v>
      </c>
      <c r="K2" s="101">
        <v>2025</v>
      </c>
      <c r="L2" s="101">
        <v>2026</v>
      </c>
    </row>
    <row r="3" spans="1:12" x14ac:dyDescent="0.4">
      <c r="A3" s="1" t="s">
        <v>42</v>
      </c>
      <c r="B3" s="136">
        <v>2741385020.5700002</v>
      </c>
      <c r="C3" s="136">
        <v>2672988380.4899998</v>
      </c>
      <c r="D3" s="136">
        <v>2654852274.9299998</v>
      </c>
      <c r="E3" s="136">
        <v>2332914678.9000001</v>
      </c>
      <c r="F3" s="137">
        <v>2137707938.54</v>
      </c>
      <c r="G3" s="138">
        <v>2128368396.3900001</v>
      </c>
      <c r="H3" s="53">
        <f>H4+H5</f>
        <v>2030754601.2592115</v>
      </c>
      <c r="I3" s="53">
        <f t="shared" ref="I3:L3" si="0">I4+I5</f>
        <v>2021446333.2491069</v>
      </c>
      <c r="J3" s="53">
        <f t="shared" si="0"/>
        <v>1835163535.6797256</v>
      </c>
      <c r="K3" s="53">
        <f t="shared" si="0"/>
        <v>1798923342.7759457</v>
      </c>
      <c r="L3" s="53">
        <f t="shared" si="0"/>
        <v>1753044633.5140686</v>
      </c>
    </row>
    <row r="4" spans="1:12" x14ac:dyDescent="0.4">
      <c r="A4" s="1" t="s">
        <v>39</v>
      </c>
      <c r="B4" s="53">
        <f>B3-B5</f>
        <v>773319926.12000012</v>
      </c>
      <c r="C4" s="53">
        <f t="shared" ref="C4:G4" si="1">C3-C5</f>
        <v>836238645.35999966</v>
      </c>
      <c r="D4" s="53">
        <f t="shared" si="1"/>
        <v>925538769.42999983</v>
      </c>
      <c r="E4" s="53">
        <f t="shared" si="1"/>
        <v>911259510.34000015</v>
      </c>
      <c r="F4" s="53">
        <f t="shared" si="1"/>
        <v>833403072.52999997</v>
      </c>
      <c r="G4" s="53">
        <f t="shared" si="1"/>
        <v>891510783.21000004</v>
      </c>
      <c r="H4" s="53">
        <f>G4+H6</f>
        <v>906317064.111233</v>
      </c>
      <c r="I4" s="53">
        <f t="shared" ref="I4" si="2">H4+I6</f>
        <v>915722029.16931725</v>
      </c>
      <c r="J4" s="53">
        <f t="shared" ref="J4" si="3">I4+J6</f>
        <v>915827878.13610554</v>
      </c>
      <c r="K4" s="53">
        <f t="shared" ref="K4" si="4">J4+K6</f>
        <v>917572858.91222572</v>
      </c>
      <c r="L4" s="53">
        <f t="shared" ref="L4" si="5">K4+L6</f>
        <v>929295586.57683396</v>
      </c>
    </row>
    <row r="5" spans="1:12" x14ac:dyDescent="0.4">
      <c r="A5" s="1" t="s">
        <v>43</v>
      </c>
      <c r="B5" s="53">
        <f>BS!B9</f>
        <v>1968065094.45</v>
      </c>
      <c r="C5" s="53">
        <f>BS!C9</f>
        <v>1836749735.1300001</v>
      </c>
      <c r="D5" s="53">
        <f>BS!D9</f>
        <v>1729313505.5</v>
      </c>
      <c r="E5" s="53">
        <f>BS!E9</f>
        <v>1421655168.5599999</v>
      </c>
      <c r="F5" s="53">
        <f>BS!F9</f>
        <v>1304304866.01</v>
      </c>
      <c r="G5" s="53">
        <f>BS!G9</f>
        <v>1236857613.1800001</v>
      </c>
      <c r="H5" s="53">
        <f>BS!H9</f>
        <v>1124437537.1479785</v>
      </c>
      <c r="I5" s="53">
        <f>BS!I9</f>
        <v>1105724304.0797896</v>
      </c>
      <c r="J5" s="53">
        <f>BS!J9</f>
        <v>919335657.54362011</v>
      </c>
      <c r="K5" s="53">
        <f>BS!K9</f>
        <v>881350483.86372006</v>
      </c>
      <c r="L5" s="53">
        <f>BS!L9</f>
        <v>823749046.93723476</v>
      </c>
    </row>
    <row r="6" spans="1:12" x14ac:dyDescent="0.4">
      <c r="A6" s="1" t="s">
        <v>40</v>
      </c>
      <c r="B6" s="96"/>
      <c r="C6" s="53">
        <f>C4-B4</f>
        <v>62918719.239999533</v>
      </c>
      <c r="D6" s="53">
        <f t="shared" ref="D6:G6" si="6">D4-C4</f>
        <v>89300124.070000172</v>
      </c>
      <c r="E6" s="53">
        <f t="shared" si="6"/>
        <v>-14279259.089999676</v>
      </c>
      <c r="F6" s="53">
        <f t="shared" si="6"/>
        <v>-77856437.810000181</v>
      </c>
      <c r="G6" s="53">
        <f t="shared" si="6"/>
        <v>58107710.680000067</v>
      </c>
      <c r="H6" s="53">
        <f>(H5+G5)/2*H7</f>
        <v>14806280.901232922</v>
      </c>
      <c r="I6" s="53">
        <f t="shared" ref="I6" si="7">(I5+H5)/2*I7</f>
        <v>9404965.05808427</v>
      </c>
      <c r="J6" s="53">
        <f t="shared" ref="J6" si="8">(J5+I5)/2*J7</f>
        <v>105848.96678828463</v>
      </c>
      <c r="K6" s="53">
        <f t="shared" ref="K6" si="9">(K5+J5)/2*K7</f>
        <v>1744980.7761201579</v>
      </c>
      <c r="L6" s="53">
        <f t="shared" ref="L6" si="10">(L5+K5)/2*L7</f>
        <v>11722727.664608272</v>
      </c>
    </row>
    <row r="7" spans="1:12" x14ac:dyDescent="0.4">
      <c r="A7" s="1" t="s">
        <v>44</v>
      </c>
      <c r="B7" s="96"/>
      <c r="C7" s="76">
        <f>C6*2/(B5+C5)</f>
        <v>3.3073209634722177E-2</v>
      </c>
      <c r="D7" s="76">
        <f t="shared" ref="D7" si="11">D6*2/(C5+D5)</f>
        <v>5.0083309265274795E-2</v>
      </c>
      <c r="E7" s="76">
        <f t="shared" ref="E7" si="12">E6*2/(D5+E5)</f>
        <v>-9.0634091081590821E-3</v>
      </c>
      <c r="F7" s="76">
        <f t="shared" ref="F7" si="13">F6*2/(E5+F5)</f>
        <v>-5.7122215162836359E-2</v>
      </c>
      <c r="G7" s="76">
        <f t="shared" ref="G7" si="14">G6*2/(F5+G5)</f>
        <v>4.5733172243690612E-2</v>
      </c>
      <c r="H7" s="77">
        <f>AVERAGE(C7:G7)</f>
        <v>1.2540813374538429E-2</v>
      </c>
      <c r="I7" s="77">
        <f t="shared" ref="I7:L7" si="15">AVERAGE(D7:H7)</f>
        <v>8.4343341225016806E-3</v>
      </c>
      <c r="J7" s="77">
        <f t="shared" si="15"/>
        <v>1.0453909394705502E-4</v>
      </c>
      <c r="K7" s="77">
        <f t="shared" si="15"/>
        <v>1.9381287343682835E-3</v>
      </c>
      <c r="L7" s="77">
        <f t="shared" si="15"/>
        <v>1.3750197513809213E-2</v>
      </c>
    </row>
    <row r="8" spans="1:12" x14ac:dyDescent="0.4">
      <c r="A8" s="1" t="s">
        <v>49</v>
      </c>
      <c r="B8" s="96"/>
      <c r="C8" s="96"/>
      <c r="D8" s="96"/>
      <c r="E8" s="96"/>
      <c r="F8" s="96"/>
      <c r="G8" s="96"/>
      <c r="H8" s="53">
        <f>H3-G3</f>
        <v>-97613795.130788565</v>
      </c>
      <c r="I8" s="53">
        <f>I3-H3</f>
        <v>-9308268.0101046562</v>
      </c>
      <c r="J8" s="53">
        <f>J3-I3</f>
        <v>-186282797.56938124</v>
      </c>
      <c r="K8" s="53">
        <f>K3-J3</f>
        <v>-36240192.903779984</v>
      </c>
      <c r="L8" s="53">
        <f>L3-K3</f>
        <v>-45878709.26187706</v>
      </c>
    </row>
    <row r="9" spans="1:12" ht="12" customHeight="1" x14ac:dyDescent="0.4"/>
    <row r="11" spans="1:12" s="39" customFormat="1" x14ac:dyDescent="0.4">
      <c r="A11" s="41" t="s">
        <v>1</v>
      </c>
      <c r="B11" s="100" t="s">
        <v>212</v>
      </c>
      <c r="C11" s="100" t="s">
        <v>211</v>
      </c>
      <c r="D11" s="100" t="s">
        <v>210</v>
      </c>
      <c r="E11" s="100" t="s">
        <v>209</v>
      </c>
      <c r="F11" s="100" t="s">
        <v>208</v>
      </c>
      <c r="G11" s="100" t="s">
        <v>207</v>
      </c>
      <c r="H11" s="99" t="s">
        <v>213</v>
      </c>
      <c r="I11" s="99" t="s">
        <v>214</v>
      </c>
      <c r="J11" s="99" t="s">
        <v>215</v>
      </c>
      <c r="K11" s="99" t="s">
        <v>216</v>
      </c>
      <c r="L11" s="99" t="s">
        <v>217</v>
      </c>
    </row>
    <row r="12" spans="1:12" x14ac:dyDescent="0.4">
      <c r="A12" s="97" t="s">
        <v>42</v>
      </c>
      <c r="B12" s="136">
        <v>447181745.81</v>
      </c>
      <c r="C12" s="136">
        <v>402728605.70999998</v>
      </c>
      <c r="D12" s="136">
        <v>390534233.42000002</v>
      </c>
      <c r="E12" s="136">
        <v>353579274.14999998</v>
      </c>
      <c r="F12" s="136">
        <v>339634216.35000002</v>
      </c>
      <c r="G12" s="138">
        <v>340095346</v>
      </c>
      <c r="H12" s="53">
        <f>H13+H14</f>
        <v>328321663.79171991</v>
      </c>
      <c r="I12" s="53">
        <f t="shared" ref="I12" si="16">I13+I14</f>
        <v>330615382.18474525</v>
      </c>
      <c r="J12" s="53">
        <f t="shared" ref="J12" si="17">J13+J14</f>
        <v>308132879.27560031</v>
      </c>
      <c r="K12" s="53">
        <f t="shared" ref="K12" si="18">K13+K14</f>
        <v>307034520.55247045</v>
      </c>
      <c r="L12" s="53">
        <f t="shared" ref="L12" si="19">L13+L14</f>
        <v>303117172.90129459</v>
      </c>
    </row>
    <row r="13" spans="1:12" x14ac:dyDescent="0.4">
      <c r="A13" s="97" t="s">
        <v>203</v>
      </c>
      <c r="B13" s="53">
        <f>B12-B14</f>
        <v>78643584.670000017</v>
      </c>
      <c r="C13" s="53">
        <f t="shared" ref="C13:G13" si="20">C12-C14</f>
        <v>131723855.10999995</v>
      </c>
      <c r="D13" s="53">
        <f t="shared" si="20"/>
        <v>139415227.79000002</v>
      </c>
      <c r="E13" s="53">
        <f t="shared" si="20"/>
        <v>138756003.28999996</v>
      </c>
      <c r="F13" s="53">
        <f t="shared" si="20"/>
        <v>144444418.82000002</v>
      </c>
      <c r="G13" s="53">
        <f t="shared" si="20"/>
        <v>151743076.56999999</v>
      </c>
      <c r="H13" s="53">
        <f>G13+H15</f>
        <v>160936517.68504274</v>
      </c>
      <c r="I13" s="53">
        <f t="shared" ref="I13:L13" si="21">H13+I15</f>
        <v>165725452.768327</v>
      </c>
      <c r="J13" s="53">
        <f t="shared" si="21"/>
        <v>170072453.07932663</v>
      </c>
      <c r="K13" s="53">
        <f t="shared" si="21"/>
        <v>174803002.14299583</v>
      </c>
      <c r="L13" s="53">
        <f t="shared" si="21"/>
        <v>179467010.05139697</v>
      </c>
    </row>
    <row r="14" spans="1:12" x14ac:dyDescent="0.4">
      <c r="A14" s="97" t="s">
        <v>43</v>
      </c>
      <c r="B14" s="53">
        <f>BS!B10</f>
        <v>368538161.13999999</v>
      </c>
      <c r="C14" s="53">
        <f>BS!C10</f>
        <v>271004750.60000002</v>
      </c>
      <c r="D14" s="53">
        <f>BS!D10</f>
        <v>251119005.63</v>
      </c>
      <c r="E14" s="53">
        <f>BS!E10</f>
        <v>214823270.86000001</v>
      </c>
      <c r="F14" s="53">
        <f>BS!F10</f>
        <v>195189797.53</v>
      </c>
      <c r="G14" s="53">
        <f>BS!G10</f>
        <v>188352269.43000001</v>
      </c>
      <c r="H14" s="53">
        <f>BS!H10</f>
        <v>167385146.1066772</v>
      </c>
      <c r="I14" s="53">
        <f>BS!I10</f>
        <v>164889929.41641825</v>
      </c>
      <c r="J14" s="53">
        <f>BS!J10</f>
        <v>138060426.19627371</v>
      </c>
      <c r="K14" s="53">
        <f>BS!K10</f>
        <v>132231518.4094746</v>
      </c>
      <c r="L14" s="53">
        <f>BS!L10</f>
        <v>123650162.84989761</v>
      </c>
    </row>
    <row r="15" spans="1:12" x14ac:dyDescent="0.4">
      <c r="A15" s="97" t="s">
        <v>204</v>
      </c>
      <c r="B15" s="96"/>
      <c r="C15" s="53">
        <f>C13-B13</f>
        <v>53080270.439999938</v>
      </c>
      <c r="D15" s="53">
        <f t="shared" ref="D15:G15" si="22">D13-C13</f>
        <v>7691372.6800000668</v>
      </c>
      <c r="E15" s="53">
        <f t="shared" si="22"/>
        <v>-659224.5000000596</v>
      </c>
      <c r="F15" s="53">
        <f t="shared" si="22"/>
        <v>5688415.5300000608</v>
      </c>
      <c r="G15" s="53">
        <f t="shared" si="22"/>
        <v>7298657.7499999702</v>
      </c>
      <c r="H15" s="53">
        <f>(H14+G14)/2*H16</f>
        <v>9193441.1150427517</v>
      </c>
      <c r="I15" s="53">
        <f t="shared" ref="I15" si="23">(I14+H14)/2*I16</f>
        <v>4788935.0832842486</v>
      </c>
      <c r="J15" s="53">
        <f t="shared" ref="J15" si="24">(J14+I14)/2*J16</f>
        <v>4347000.310999644</v>
      </c>
      <c r="K15" s="53">
        <f t="shared" ref="K15" si="25">(K14+J14)/2*K16</f>
        <v>4730549.0636691945</v>
      </c>
      <c r="L15" s="53">
        <f t="shared" ref="L15" si="26">(L14+K14)/2*L16</f>
        <v>4664007.9084011167</v>
      </c>
    </row>
    <row r="16" spans="1:12" x14ac:dyDescent="0.4">
      <c r="A16" s="97" t="s">
        <v>205</v>
      </c>
      <c r="B16" s="96"/>
      <c r="C16" s="76">
        <f>C15*2/(B14+C14)</f>
        <v>0.16599439839176644</v>
      </c>
      <c r="D16" s="76">
        <f t="shared" ref="D16" si="27">D15*2/(C14+D14)</f>
        <v>2.9461875994824301E-2</v>
      </c>
      <c r="E16" s="76">
        <f t="shared" ref="E16" si="28">E15*2/(D14+E14)</f>
        <v>-2.8296402076500899E-3</v>
      </c>
      <c r="F16" s="76">
        <f t="shared" ref="F16" si="29">F15*2/(E14+F14)</f>
        <v>2.7747484012335438E-2</v>
      </c>
      <c r="G16" s="76">
        <f t="shared" ref="G16" si="30">G15*2/(F14+G14)</f>
        <v>3.8059229371369865E-2</v>
      </c>
      <c r="H16" s="77">
        <f>AVERAGE(C16:G16)</f>
        <v>5.168666951252919E-2</v>
      </c>
      <c r="I16" s="77">
        <f t="shared" ref="I16:L16" si="31">AVERAGE(D16:H16)</f>
        <v>2.8825123736681741E-2</v>
      </c>
      <c r="J16" s="77">
        <f t="shared" si="31"/>
        <v>2.869777328505323E-2</v>
      </c>
      <c r="K16" s="77">
        <f t="shared" si="31"/>
        <v>3.5003255983593898E-2</v>
      </c>
      <c r="L16" s="77">
        <f t="shared" si="31"/>
        <v>3.6454410377845581E-2</v>
      </c>
    </row>
    <row r="17" spans="1:12" x14ac:dyDescent="0.4">
      <c r="A17" s="97" t="s">
        <v>50</v>
      </c>
      <c r="B17" s="96"/>
      <c r="C17" s="96"/>
      <c r="D17" s="96"/>
      <c r="E17" s="96"/>
      <c r="F17" s="96"/>
      <c r="G17" s="96"/>
      <c r="H17" s="53">
        <f>H12-G12</f>
        <v>-11773682.208280087</v>
      </c>
      <c r="I17" s="53">
        <f t="shared" ref="I17:L17" si="32">I12-H12</f>
        <v>2293718.3930253386</v>
      </c>
      <c r="J17" s="53">
        <f t="shared" si="32"/>
        <v>-22482502.909144938</v>
      </c>
      <c r="K17" s="53">
        <f t="shared" si="32"/>
        <v>-1098358.7231298685</v>
      </c>
      <c r="L17" s="53">
        <f t="shared" si="32"/>
        <v>-3917347.6511758566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B014-94C6-489C-89EE-E268A2C4987E}">
  <dimension ref="A1:F16"/>
  <sheetViews>
    <sheetView tabSelected="1" zoomScaleNormal="100" workbookViewId="0">
      <selection activeCell="I28" sqref="I28"/>
    </sheetView>
  </sheetViews>
  <sheetFormatPr defaultColWidth="8.796875" defaultRowHeight="13.15" x14ac:dyDescent="0.4"/>
  <cols>
    <col min="1" max="1" width="27.3984375" style="2" customWidth="1"/>
    <col min="2" max="2" width="14.73046875" style="1" customWidth="1"/>
    <col min="3" max="3" width="15.06640625" style="1" customWidth="1"/>
    <col min="4" max="4" width="13.33203125" style="1" customWidth="1"/>
    <col min="5" max="5" width="14" style="1" customWidth="1"/>
    <col min="6" max="6" width="14.46484375" style="1" customWidth="1"/>
    <col min="7" max="16384" width="8.796875" style="1"/>
  </cols>
  <sheetData>
    <row r="1" spans="1:6" x14ac:dyDescent="0.4">
      <c r="B1" s="99" t="s">
        <v>213</v>
      </c>
      <c r="C1" s="99" t="s">
        <v>214</v>
      </c>
      <c r="D1" s="99" t="s">
        <v>215</v>
      </c>
      <c r="E1" s="99" t="s">
        <v>216</v>
      </c>
      <c r="F1" s="99" t="s">
        <v>217</v>
      </c>
    </row>
    <row r="2" spans="1:6" x14ac:dyDescent="0.35">
      <c r="A2" s="142"/>
      <c r="B2" s="149">
        <v>2022</v>
      </c>
      <c r="C2" s="149">
        <v>2023</v>
      </c>
      <c r="D2" s="149">
        <v>2024</v>
      </c>
      <c r="E2" s="149">
        <v>2025</v>
      </c>
      <c r="F2" s="149">
        <v>2026</v>
      </c>
    </row>
    <row r="3" spans="1:6" x14ac:dyDescent="0.35">
      <c r="A3" s="150" t="s">
        <v>56</v>
      </c>
      <c r="B3" s="143">
        <f ca="1">IS!H19</f>
        <v>-931509791.7501024</v>
      </c>
      <c r="C3" s="143">
        <f ca="1">IS!I19</f>
        <v>-1013582179.3451322</v>
      </c>
      <c r="D3" s="143">
        <f ca="1">IS!J19</f>
        <v>-1000347269.8475379</v>
      </c>
      <c r="E3" s="143">
        <f ca="1">IS!K19</f>
        <v>-1079036188.8043056</v>
      </c>
      <c r="F3" s="143">
        <f ca="1">IS!L19</f>
        <v>-922585561.82827628</v>
      </c>
    </row>
    <row r="4" spans="1:6" x14ac:dyDescent="0.4">
      <c r="A4" s="144" t="s">
        <v>66</v>
      </c>
      <c r="B4" s="145">
        <f ca="1">IS!H13*(1-Assumption!G11)</f>
        <v>279031370.08544374</v>
      </c>
      <c r="C4" s="145">
        <f ca="1">IS!I13*(1-Assumption!H11)</f>
        <v>305365975.62533778</v>
      </c>
      <c r="D4" s="145">
        <f ca="1">IS!J13*(1-Assumption!I11)</f>
        <v>275191284.58937019</v>
      </c>
      <c r="E4" s="145">
        <f ca="1">IS!K13*(1-Assumption!J11)</f>
        <v>288834313.03406304</v>
      </c>
      <c r="F4" s="145">
        <f ca="1">IS!L13*(1-Assumption!K11)</f>
        <v>272613172.06424695</v>
      </c>
    </row>
    <row r="5" spans="1:6" x14ac:dyDescent="0.4">
      <c r="A5" s="1" t="s">
        <v>70</v>
      </c>
      <c r="B5" s="53">
        <f>Capex!H6+Capex!H15</f>
        <v>23999722.016275674</v>
      </c>
      <c r="C5" s="53">
        <f>Capex!I6+Capex!I15</f>
        <v>14193900.14136852</v>
      </c>
      <c r="D5" s="53">
        <f>Capex!J6+Capex!J15</f>
        <v>4452849.2777879285</v>
      </c>
      <c r="E5" s="53">
        <f>Capex!K6+Capex!K15</f>
        <v>6475529.8397893524</v>
      </c>
      <c r="F5" s="53">
        <f>Capex!L6+Capex!L15</f>
        <v>16386735.573009389</v>
      </c>
    </row>
    <row r="6" spans="1:6" x14ac:dyDescent="0.4">
      <c r="A6" s="146" t="s">
        <v>63</v>
      </c>
      <c r="B6" s="145">
        <f>IS!H6</f>
        <v>43128681.162295818</v>
      </c>
      <c r="C6" s="145">
        <f>IS!I6</f>
        <v>34761500.625402607</v>
      </c>
      <c r="D6" s="145">
        <f>IS!J6</f>
        <v>24023841.517173592</v>
      </c>
      <c r="E6" s="145">
        <f>IS!K6</f>
        <v>38931007.728264324</v>
      </c>
      <c r="F6" s="145">
        <f>IS!L6</f>
        <v>33841584.951813079</v>
      </c>
    </row>
    <row r="7" spans="1:6" x14ac:dyDescent="0.4">
      <c r="A7" s="1" t="s">
        <v>21</v>
      </c>
      <c r="B7" s="53">
        <f>IS!H7</f>
        <v>399516687.52737361</v>
      </c>
      <c r="C7" s="53">
        <f>IS!I7</f>
        <v>459127511.67926908</v>
      </c>
      <c r="D7" s="53">
        <f>IS!J7</f>
        <v>447831324.33867449</v>
      </c>
      <c r="E7" s="53">
        <f>IS!K7</f>
        <v>474415006.96344787</v>
      </c>
      <c r="F7" s="53">
        <f>IS!L7</f>
        <v>442450116.57615185</v>
      </c>
    </row>
    <row r="8" spans="1:6" x14ac:dyDescent="0.4">
      <c r="A8" s="146" t="s">
        <v>121</v>
      </c>
      <c r="B8" s="145">
        <f>IS!H8</f>
        <v>0</v>
      </c>
      <c r="C8" s="145">
        <f>IS!I8</f>
        <v>0</v>
      </c>
      <c r="D8" s="145">
        <f>IS!J8</f>
        <v>0</v>
      </c>
      <c r="E8" s="145">
        <f>IS!K8</f>
        <v>0</v>
      </c>
      <c r="F8" s="145">
        <f>IS!L8</f>
        <v>0</v>
      </c>
    </row>
    <row r="9" spans="1:6" x14ac:dyDescent="0.4">
      <c r="A9" s="1" t="s">
        <v>65</v>
      </c>
      <c r="B9" s="53">
        <f>IS!H9</f>
        <v>3955459.02318299</v>
      </c>
      <c r="C9" s="53">
        <f>IS!I9</f>
        <v>4191932.5186634585</v>
      </c>
      <c r="D9" s="53">
        <f>IS!J9</f>
        <v>4646331.6279040603</v>
      </c>
      <c r="E9" s="53">
        <f>IS!K9</f>
        <v>4993272.9651332404</v>
      </c>
      <c r="F9" s="53">
        <f>IS!L9</f>
        <v>3186298.9408689342</v>
      </c>
    </row>
    <row r="10" spans="1:6" x14ac:dyDescent="0.4">
      <c r="A10" s="146" t="s">
        <v>198</v>
      </c>
      <c r="B10" s="145">
        <f>IS!H16</f>
        <v>-8073660.4093280062</v>
      </c>
      <c r="C10" s="145">
        <f>IS!I16</f>
        <v>-8477455.0259872451</v>
      </c>
      <c r="D10" s="145">
        <f>IS!J16</f>
        <v>-7669574.3314040592</v>
      </c>
      <c r="E10" s="145">
        <f>IS!K16</f>
        <v>-5014147.9430610277</v>
      </c>
      <c r="F10" s="145">
        <f>IS!L16</f>
        <v>-5050592.3377400106</v>
      </c>
    </row>
    <row r="11" spans="1:6" x14ac:dyDescent="0.4">
      <c r="A11" s="2" t="s">
        <v>67</v>
      </c>
      <c r="B11" s="53">
        <f>(BS!H4-BS!G4)</f>
        <v>-20755802.433979034</v>
      </c>
      <c r="C11" s="53">
        <f>(BS!I4-BS!H4)</f>
        <v>73246435.008095741</v>
      </c>
      <c r="D11" s="53">
        <f>(BS!J4-BS!I4)</f>
        <v>-839382154.85800028</v>
      </c>
      <c r="E11" s="53">
        <f>(BS!K4-BS!J4)</f>
        <v>-217019754.44599819</v>
      </c>
      <c r="F11" s="53">
        <f>(BS!L4-BS!K4)</f>
        <v>-327658173.31528473</v>
      </c>
    </row>
    <row r="12" spans="1:6" x14ac:dyDescent="0.4">
      <c r="A12" s="146" t="s">
        <v>68</v>
      </c>
      <c r="B12" s="145">
        <f>BS!H5-BS!G5</f>
        <v>1226582323.452589</v>
      </c>
      <c r="C12" s="145">
        <f>BS!I5-BS!H5</f>
        <v>-338449058.78984594</v>
      </c>
      <c r="D12" s="145">
        <f>BS!J5-BS!I5</f>
        <v>-864864447.09314156</v>
      </c>
      <c r="E12" s="145">
        <f>BS!K5-BS!J5</f>
        <v>-76825626.424455166</v>
      </c>
      <c r="F12" s="145">
        <f>BS!L5-BS!K5</f>
        <v>-24858213.821280718</v>
      </c>
    </row>
    <row r="13" spans="1:6" x14ac:dyDescent="0.4">
      <c r="A13" s="2" t="s">
        <v>69</v>
      </c>
      <c r="B13" s="53">
        <f>BS!H16-BS!G16</f>
        <v>-2727335480.1762209</v>
      </c>
      <c r="C13" s="53">
        <f>BS!I16-BS!H16</f>
        <v>329825129.92768383</v>
      </c>
      <c r="D13" s="53">
        <f>BS!J16-BS!I16</f>
        <v>-710847301.22949982</v>
      </c>
      <c r="E13" s="53">
        <f>BS!K16-BS!J16</f>
        <v>-326491005.45928955</v>
      </c>
      <c r="F13" s="53">
        <f>BS!L16-BS!K16</f>
        <v>-488390475.57149506</v>
      </c>
    </row>
    <row r="14" spans="1:6" x14ac:dyDescent="0.4">
      <c r="A14" s="146" t="s">
        <v>71</v>
      </c>
      <c r="B14" s="145">
        <f>Capex!H8+Capex!H17</f>
        <v>-109387477.33906865</v>
      </c>
      <c r="C14" s="145">
        <f>Capex!I8+Capex!I17</f>
        <v>-7014549.6170793176</v>
      </c>
      <c r="D14" s="145">
        <f>Capex!J8+Capex!J17</f>
        <v>-208765300.47852618</v>
      </c>
      <c r="E14" s="145">
        <f>Capex!K8+Capex!K17</f>
        <v>-37338551.626909852</v>
      </c>
      <c r="F14" s="145">
        <f>Capex!L8+Capex!L17</f>
        <v>-49796056.913052917</v>
      </c>
    </row>
    <row r="15" spans="1:6" s="39" customFormat="1" ht="12.75" x14ac:dyDescent="0.4">
      <c r="A15" s="147" t="s">
        <v>267</v>
      </c>
      <c r="B15" s="148">
        <f ca="1">B3+B4+B5-B6+B7-B8-B9-B10-B11-B12+B13-B14</f>
        <v>-4091747015.752923</v>
      </c>
      <c r="C15" s="148">
        <f t="shared" ref="C15:F15" ca="1" si="0">C3+C4+C5-C6+C7-C8-C9-C10-C11-C12+C13-C14</f>
        <v>336671533.30927759</v>
      </c>
      <c r="D15" s="148">
        <f t="shared" ca="1" si="0"/>
        <v>908292190.74478912</v>
      </c>
      <c r="E15" s="148">
        <f t="shared" ca="1" si="0"/>
        <v>-343528544.67926806</v>
      </c>
      <c r="F15" s="148">
        <f t="shared" ca="1" si="0"/>
        <v>-309190860.69168675</v>
      </c>
    </row>
    <row r="16" spans="1:6" x14ac:dyDescent="0.4">
      <c r="A16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44A9-5E05-4E72-8F70-B27C2074F6B1}">
  <dimension ref="A1:K72"/>
  <sheetViews>
    <sheetView zoomScaleNormal="100" workbookViewId="0">
      <selection activeCell="M21" sqref="M21"/>
    </sheetView>
  </sheetViews>
  <sheetFormatPr defaultColWidth="8.796875" defaultRowHeight="13.15" x14ac:dyDescent="0.4"/>
  <cols>
    <col min="1" max="1" width="7.9296875" style="122" customWidth="1"/>
    <col min="2" max="2" width="6.86328125" style="122" customWidth="1"/>
    <col min="3" max="3" width="12.59765625" style="1" customWidth="1"/>
    <col min="4" max="4" width="7.33203125" style="1" customWidth="1"/>
    <col min="5" max="6" width="8.796875" style="1"/>
    <col min="7" max="8" width="8.796875" style="123"/>
    <col min="9" max="16384" width="8.796875" style="1"/>
  </cols>
  <sheetData>
    <row r="1" spans="1:11" ht="13.9" thickBot="1" x14ac:dyDescent="0.45">
      <c r="A1" s="125" t="s">
        <v>240</v>
      </c>
      <c r="B1" s="125" t="s">
        <v>241</v>
      </c>
      <c r="C1" s="39" t="s">
        <v>250</v>
      </c>
      <c r="D1" s="122" t="s">
        <v>251</v>
      </c>
      <c r="E1" s="122" t="s">
        <v>248</v>
      </c>
      <c r="G1" s="123" t="s">
        <v>18</v>
      </c>
      <c r="H1" s="123" t="s">
        <v>248</v>
      </c>
      <c r="J1" s="127" t="s">
        <v>249</v>
      </c>
      <c r="K1" s="128">
        <f>LINEST(Beta!G3:G72,Beta!H3:H72,TRUE)</f>
        <v>0.62016634193538955</v>
      </c>
    </row>
    <row r="2" spans="1:11" ht="13.9" x14ac:dyDescent="0.4">
      <c r="A2" s="126" t="s">
        <v>242</v>
      </c>
      <c r="B2" s="126">
        <v>1</v>
      </c>
      <c r="C2" s="129">
        <v>42398</v>
      </c>
      <c r="D2" s="124">
        <v>6.67</v>
      </c>
      <c r="E2" s="124">
        <v>2946.09</v>
      </c>
    </row>
    <row r="3" spans="1:11" ht="13.9" x14ac:dyDescent="0.4">
      <c r="A3" s="126" t="s">
        <v>242</v>
      </c>
      <c r="B3" s="126">
        <v>2</v>
      </c>
      <c r="C3" s="129">
        <v>42429</v>
      </c>
      <c r="D3" s="124">
        <v>6.25</v>
      </c>
      <c r="E3" s="124">
        <v>2877.4670000000001</v>
      </c>
      <c r="G3" s="123">
        <f>D3/D2-1</f>
        <v>-6.2968515742128917E-2</v>
      </c>
      <c r="H3" s="123">
        <f>E3/E2-1</f>
        <v>-2.3292906869783359E-2</v>
      </c>
    </row>
    <row r="4" spans="1:11" ht="13.9" x14ac:dyDescent="0.4">
      <c r="A4" s="126" t="s">
        <v>242</v>
      </c>
      <c r="B4" s="126">
        <v>3</v>
      </c>
      <c r="C4" s="129">
        <v>42460</v>
      </c>
      <c r="D4" s="124">
        <v>7.76</v>
      </c>
      <c r="E4" s="124">
        <v>3218.0880000000002</v>
      </c>
      <c r="G4" s="123">
        <f t="shared" ref="G4:G67" si="0">D4/D3-1</f>
        <v>0.24160000000000004</v>
      </c>
      <c r="H4" s="123">
        <f t="shared" ref="H4:H67" si="1">E4/E3-1</f>
        <v>0.11837529327008789</v>
      </c>
    </row>
    <row r="5" spans="1:11" ht="13.9" x14ac:dyDescent="0.4">
      <c r="A5" s="126" t="s">
        <v>242</v>
      </c>
      <c r="B5" s="126">
        <v>4</v>
      </c>
      <c r="C5" s="129">
        <v>42489</v>
      </c>
      <c r="D5" s="124">
        <v>8.3800000000000008</v>
      </c>
      <c r="E5" s="124">
        <v>3156.7449999999999</v>
      </c>
      <c r="G5" s="123">
        <f t="shared" si="0"/>
        <v>7.9896907216495006E-2</v>
      </c>
      <c r="H5" s="123">
        <f t="shared" si="1"/>
        <v>-1.9061939884801204E-2</v>
      </c>
    </row>
    <row r="6" spans="1:11" ht="13.9" x14ac:dyDescent="0.4">
      <c r="A6" s="126" t="s">
        <v>242</v>
      </c>
      <c r="B6" s="126">
        <v>5</v>
      </c>
      <c r="C6" s="129">
        <v>42521</v>
      </c>
      <c r="D6" s="124">
        <v>7.42</v>
      </c>
      <c r="E6" s="124">
        <v>3169.56</v>
      </c>
      <c r="G6" s="123">
        <f t="shared" si="0"/>
        <v>-0.11455847255369933</v>
      </c>
      <c r="H6" s="123">
        <f t="shared" si="1"/>
        <v>4.059561351962282E-3</v>
      </c>
    </row>
    <row r="7" spans="1:11" ht="13.9" x14ac:dyDescent="0.4">
      <c r="A7" s="126" t="s">
        <v>242</v>
      </c>
      <c r="B7" s="126">
        <v>6</v>
      </c>
      <c r="C7" s="129">
        <v>42551</v>
      </c>
      <c r="D7" s="124">
        <v>7.7</v>
      </c>
      <c r="E7" s="124">
        <v>3153.9209999999998</v>
      </c>
      <c r="G7" s="123">
        <f t="shared" si="0"/>
        <v>3.7735849056603765E-2</v>
      </c>
      <c r="H7" s="123">
        <f t="shared" si="1"/>
        <v>-4.9341233483511937E-3</v>
      </c>
    </row>
    <row r="8" spans="1:11" ht="13.9" x14ac:dyDescent="0.4">
      <c r="A8" s="126" t="s">
        <v>242</v>
      </c>
      <c r="B8" s="126">
        <v>7</v>
      </c>
      <c r="C8" s="129">
        <v>42580</v>
      </c>
      <c r="D8" s="124">
        <v>7.28</v>
      </c>
      <c r="E8" s="124">
        <v>3203.93</v>
      </c>
      <c r="G8" s="123">
        <f t="shared" si="0"/>
        <v>-5.4545454545454564E-2</v>
      </c>
      <c r="H8" s="123">
        <f t="shared" si="1"/>
        <v>1.5856135901945567E-2</v>
      </c>
    </row>
    <row r="9" spans="1:11" ht="13.9" x14ac:dyDescent="0.4">
      <c r="A9" s="126" t="s">
        <v>242</v>
      </c>
      <c r="B9" s="126">
        <v>8</v>
      </c>
      <c r="C9" s="129">
        <v>42613</v>
      </c>
      <c r="D9" s="124">
        <v>7.86</v>
      </c>
      <c r="E9" s="124">
        <v>3327.7939999999999</v>
      </c>
      <c r="G9" s="123">
        <f t="shared" si="0"/>
        <v>7.9670329670329609E-2</v>
      </c>
      <c r="H9" s="123">
        <f t="shared" si="1"/>
        <v>3.8660020662124372E-2</v>
      </c>
    </row>
    <row r="10" spans="1:11" ht="13.9" x14ac:dyDescent="0.4">
      <c r="A10" s="126" t="s">
        <v>242</v>
      </c>
      <c r="B10" s="126">
        <v>9</v>
      </c>
      <c r="C10" s="129">
        <v>42615</v>
      </c>
      <c r="D10" s="124">
        <v>7.84</v>
      </c>
      <c r="E10" s="124">
        <v>3314.114</v>
      </c>
      <c r="G10" s="123">
        <f t="shared" si="0"/>
        <v>-2.5445292620865922E-3</v>
      </c>
      <c r="H10" s="123">
        <f t="shared" si="1"/>
        <v>-4.1108313795865659E-3</v>
      </c>
    </row>
    <row r="11" spans="1:11" ht="13.9" x14ac:dyDescent="0.4">
      <c r="A11" s="126" t="s">
        <v>242</v>
      </c>
      <c r="B11" s="126">
        <v>11</v>
      </c>
      <c r="C11" s="129">
        <v>42704</v>
      </c>
      <c r="D11" s="124">
        <v>9.68</v>
      </c>
      <c r="E11" s="124">
        <v>3538.0010000000002</v>
      </c>
      <c r="G11" s="123">
        <f t="shared" si="0"/>
        <v>0.23469387755102034</v>
      </c>
      <c r="H11" s="123">
        <f t="shared" si="1"/>
        <v>6.7555612148526123E-2</v>
      </c>
    </row>
    <row r="12" spans="1:11" ht="13.9" x14ac:dyDescent="0.4">
      <c r="A12" s="126" t="s">
        <v>242</v>
      </c>
      <c r="B12" s="126">
        <v>12</v>
      </c>
      <c r="C12" s="129">
        <v>42734</v>
      </c>
      <c r="D12" s="124">
        <v>10</v>
      </c>
      <c r="E12" s="124">
        <v>3310.0810000000001</v>
      </c>
      <c r="G12" s="123">
        <f t="shared" si="0"/>
        <v>3.3057851239669533E-2</v>
      </c>
      <c r="H12" s="123">
        <f t="shared" si="1"/>
        <v>-6.4420558388762483E-2</v>
      </c>
    </row>
    <row r="13" spans="1:11" ht="13.9" x14ac:dyDescent="0.4">
      <c r="A13" s="126" t="s">
        <v>211</v>
      </c>
      <c r="B13" s="126">
        <v>1</v>
      </c>
      <c r="C13" s="129">
        <v>42761</v>
      </c>
      <c r="D13" s="124">
        <v>10.62</v>
      </c>
      <c r="E13" s="124">
        <v>3387.9609999999998</v>
      </c>
      <c r="G13" s="123">
        <f t="shared" si="0"/>
        <v>6.1999999999999833E-2</v>
      </c>
      <c r="H13" s="123">
        <f t="shared" si="1"/>
        <v>2.3528125142556755E-2</v>
      </c>
    </row>
    <row r="14" spans="1:11" ht="13.9" x14ac:dyDescent="0.4">
      <c r="A14" s="126" t="s">
        <v>243</v>
      </c>
      <c r="B14" s="126">
        <v>2</v>
      </c>
      <c r="C14" s="129">
        <v>42794</v>
      </c>
      <c r="D14" s="124">
        <v>11.62</v>
      </c>
      <c r="E14" s="124">
        <v>3452.81</v>
      </c>
      <c r="G14" s="123">
        <f t="shared" si="0"/>
        <v>9.4161958568738324E-2</v>
      </c>
      <c r="H14" s="123">
        <f t="shared" si="1"/>
        <v>1.9141011363472016E-2</v>
      </c>
    </row>
    <row r="15" spans="1:11" ht="13.9" x14ac:dyDescent="0.4">
      <c r="A15" s="126" t="s">
        <v>243</v>
      </c>
      <c r="B15" s="126">
        <v>3</v>
      </c>
      <c r="C15" s="129">
        <v>42825</v>
      </c>
      <c r="D15" s="124">
        <v>11.22</v>
      </c>
      <c r="E15" s="124">
        <v>3456.0459999999998</v>
      </c>
      <c r="G15" s="123">
        <f t="shared" si="0"/>
        <v>-3.4423407917383742E-2</v>
      </c>
      <c r="H15" s="123">
        <f t="shared" si="1"/>
        <v>9.3720766564042712E-4</v>
      </c>
    </row>
    <row r="16" spans="1:11" ht="13.9" x14ac:dyDescent="0.4">
      <c r="A16" s="126" t="s">
        <v>243</v>
      </c>
      <c r="B16" s="126">
        <v>4</v>
      </c>
      <c r="C16" s="129">
        <v>42853</v>
      </c>
      <c r="D16" s="124">
        <v>10.25</v>
      </c>
      <c r="E16" s="124">
        <v>3439.7530000000002</v>
      </c>
      <c r="G16" s="123">
        <f t="shared" si="0"/>
        <v>-8.6452762923351245E-2</v>
      </c>
      <c r="H16" s="123">
        <f t="shared" si="1"/>
        <v>-4.7143469733909038E-3</v>
      </c>
    </row>
    <row r="17" spans="1:8" ht="13.9" x14ac:dyDescent="0.4">
      <c r="A17" s="126" t="s">
        <v>243</v>
      </c>
      <c r="B17" s="126">
        <v>5</v>
      </c>
      <c r="C17" s="129">
        <v>42886</v>
      </c>
      <c r="D17" s="124">
        <v>10.27</v>
      </c>
      <c r="E17" s="124">
        <v>3492.8850000000002</v>
      </c>
      <c r="G17" s="123">
        <f t="shared" si="0"/>
        <v>1.9512195121951237E-3</v>
      </c>
      <c r="H17" s="123">
        <f t="shared" si="1"/>
        <v>1.5446457928810498E-2</v>
      </c>
    </row>
    <row r="18" spans="1:8" ht="13.9" x14ac:dyDescent="0.4">
      <c r="A18" s="126" t="s">
        <v>243</v>
      </c>
      <c r="B18" s="126">
        <v>6</v>
      </c>
      <c r="C18" s="129">
        <v>42916</v>
      </c>
      <c r="D18" s="124">
        <v>9.1300000000000008</v>
      </c>
      <c r="E18" s="124">
        <v>3666.7979999999998</v>
      </c>
      <c r="G18" s="123">
        <f t="shared" si="0"/>
        <v>-0.11100292112950327</v>
      </c>
      <c r="H18" s="123">
        <f t="shared" si="1"/>
        <v>4.9790645841474745E-2</v>
      </c>
    </row>
    <row r="19" spans="1:8" ht="13.9" x14ac:dyDescent="0.4">
      <c r="A19" s="126" t="s">
        <v>243</v>
      </c>
      <c r="B19" s="126">
        <v>7</v>
      </c>
      <c r="C19" s="129">
        <v>42947</v>
      </c>
      <c r="D19" s="124">
        <v>9.06</v>
      </c>
      <c r="E19" s="124">
        <v>3737.873</v>
      </c>
      <c r="G19" s="123">
        <f t="shared" si="0"/>
        <v>-7.6670317634173202E-3</v>
      </c>
      <c r="H19" s="123">
        <f t="shared" si="1"/>
        <v>1.9383396631066141E-2</v>
      </c>
    </row>
    <row r="20" spans="1:8" ht="13.9" x14ac:dyDescent="0.4">
      <c r="A20" s="126" t="s">
        <v>243</v>
      </c>
      <c r="B20" s="126">
        <v>8</v>
      </c>
      <c r="C20" s="129">
        <v>42978</v>
      </c>
      <c r="D20" s="124">
        <v>9.5299999999999994</v>
      </c>
      <c r="E20" s="124">
        <v>3822.0929999999998</v>
      </c>
      <c r="G20" s="123">
        <f t="shared" si="0"/>
        <v>5.1876379690949159E-2</v>
      </c>
      <c r="H20" s="123">
        <f t="shared" si="1"/>
        <v>2.2531530632528218E-2</v>
      </c>
    </row>
    <row r="21" spans="1:8" ht="13.9" x14ac:dyDescent="0.4">
      <c r="A21" s="126" t="s">
        <v>243</v>
      </c>
      <c r="B21" s="126">
        <v>9</v>
      </c>
      <c r="C21" s="129">
        <v>43007</v>
      </c>
      <c r="D21" s="124">
        <v>9.7899999999999991</v>
      </c>
      <c r="E21" s="124">
        <v>3836.5010000000002</v>
      </c>
      <c r="G21" s="123">
        <f t="shared" si="0"/>
        <v>2.7282266526757581E-2</v>
      </c>
      <c r="H21" s="123">
        <f t="shared" si="1"/>
        <v>3.7696623289911191E-3</v>
      </c>
    </row>
    <row r="22" spans="1:8" ht="13.9" x14ac:dyDescent="0.4">
      <c r="A22" s="126" t="s">
        <v>243</v>
      </c>
      <c r="B22" s="126">
        <v>10</v>
      </c>
      <c r="C22" s="129">
        <v>43039</v>
      </c>
      <c r="D22" s="124">
        <v>9.1199999999999992</v>
      </c>
      <c r="E22" s="124">
        <v>4006.7179999999998</v>
      </c>
      <c r="G22" s="123">
        <f t="shared" si="0"/>
        <v>-6.8437180796731334E-2</v>
      </c>
      <c r="H22" s="123">
        <f t="shared" si="1"/>
        <v>4.4367771571022674E-2</v>
      </c>
    </row>
    <row r="23" spans="1:8" ht="13.9" x14ac:dyDescent="0.4">
      <c r="A23" s="126" t="s">
        <v>243</v>
      </c>
      <c r="B23" s="126">
        <v>11</v>
      </c>
      <c r="C23" s="129">
        <v>43069</v>
      </c>
      <c r="D23" s="124">
        <v>8.23</v>
      </c>
      <c r="E23" s="124">
        <v>4006.0990000000002</v>
      </c>
      <c r="G23" s="123">
        <f t="shared" si="0"/>
        <v>-9.7587719298245501E-2</v>
      </c>
      <c r="H23" s="123">
        <f t="shared" si="1"/>
        <v>-1.5449053314953165E-4</v>
      </c>
    </row>
    <row r="24" spans="1:8" ht="13.9" x14ac:dyDescent="0.4">
      <c r="A24" s="126" t="s">
        <v>243</v>
      </c>
      <c r="B24" s="126">
        <v>12</v>
      </c>
      <c r="C24" s="129">
        <v>43098</v>
      </c>
      <c r="D24" s="124">
        <v>8.1999999999999993</v>
      </c>
      <c r="E24" s="124">
        <v>4030.855</v>
      </c>
      <c r="G24" s="123">
        <f t="shared" si="0"/>
        <v>-3.6452004860269005E-3</v>
      </c>
      <c r="H24" s="123">
        <f t="shared" si="1"/>
        <v>6.1795776889188581E-3</v>
      </c>
    </row>
    <row r="25" spans="1:8" ht="13.9" x14ac:dyDescent="0.4">
      <c r="A25" s="126" t="s">
        <v>210</v>
      </c>
      <c r="B25" s="126">
        <v>1</v>
      </c>
      <c r="C25" s="129">
        <v>43131</v>
      </c>
      <c r="D25" s="124">
        <v>8</v>
      </c>
      <c r="E25" s="124">
        <v>4275.8990000000003</v>
      </c>
      <c r="G25" s="123">
        <f t="shared" si="0"/>
        <v>-2.4390243902438935E-2</v>
      </c>
      <c r="H25" s="123">
        <f t="shared" si="1"/>
        <v>6.0792065207009527E-2</v>
      </c>
    </row>
    <row r="26" spans="1:8" ht="13.9" x14ac:dyDescent="0.4">
      <c r="A26" s="126" t="s">
        <v>244</v>
      </c>
      <c r="B26" s="126">
        <v>2</v>
      </c>
      <c r="C26" s="129">
        <v>43159</v>
      </c>
      <c r="D26" s="124">
        <v>7.71</v>
      </c>
      <c r="E26" s="124">
        <v>4023.6419999999998</v>
      </c>
      <c r="G26" s="123">
        <f t="shared" si="0"/>
        <v>-3.6250000000000004E-2</v>
      </c>
      <c r="H26" s="123">
        <f t="shared" si="1"/>
        <v>-5.8995079163469577E-2</v>
      </c>
    </row>
    <row r="27" spans="1:8" ht="13.9" x14ac:dyDescent="0.4">
      <c r="A27" s="126" t="s">
        <v>244</v>
      </c>
      <c r="B27" s="126">
        <v>3</v>
      </c>
      <c r="C27" s="129">
        <v>43189</v>
      </c>
      <c r="D27" s="124">
        <v>7.99</v>
      </c>
      <c r="E27" s="124">
        <v>3898.498</v>
      </c>
      <c r="G27" s="123">
        <f t="shared" si="0"/>
        <v>3.6316472114137577E-2</v>
      </c>
      <c r="H27" s="123">
        <f t="shared" si="1"/>
        <v>-3.1102170620547209E-2</v>
      </c>
    </row>
    <row r="28" spans="1:8" ht="13.9" x14ac:dyDescent="0.4">
      <c r="A28" s="126" t="s">
        <v>244</v>
      </c>
      <c r="B28" s="126">
        <v>4</v>
      </c>
      <c r="C28" s="129">
        <v>43217</v>
      </c>
      <c r="D28" s="124">
        <v>8</v>
      </c>
      <c r="E28" s="124">
        <v>3756.8760000000002</v>
      </c>
      <c r="G28" s="123">
        <f t="shared" si="0"/>
        <v>1.2515644555695093E-3</v>
      </c>
      <c r="H28" s="123">
        <f t="shared" si="1"/>
        <v>-3.6327324010426487E-2</v>
      </c>
    </row>
    <row r="29" spans="1:8" ht="13.9" x14ac:dyDescent="0.4">
      <c r="A29" s="126" t="s">
        <v>244</v>
      </c>
      <c r="B29" s="126">
        <v>5</v>
      </c>
      <c r="C29" s="129">
        <v>43251</v>
      </c>
      <c r="D29" s="124">
        <v>7.47</v>
      </c>
      <c r="E29" s="124">
        <v>3802.3760000000002</v>
      </c>
      <c r="G29" s="123">
        <f t="shared" si="0"/>
        <v>-6.6250000000000031E-2</v>
      </c>
      <c r="H29" s="123">
        <f t="shared" si="1"/>
        <v>1.21111263720175E-2</v>
      </c>
    </row>
    <row r="30" spans="1:8" ht="13.9" x14ac:dyDescent="0.4">
      <c r="A30" s="126" t="s">
        <v>244</v>
      </c>
      <c r="B30" s="126">
        <v>6</v>
      </c>
      <c r="C30" s="129">
        <v>43280</v>
      </c>
      <c r="D30" s="124">
        <v>5.65</v>
      </c>
      <c r="E30" s="124">
        <v>3510.9850000000001</v>
      </c>
      <c r="G30" s="123">
        <f t="shared" si="0"/>
        <v>-0.24364123159303874</v>
      </c>
      <c r="H30" s="123">
        <f t="shared" si="1"/>
        <v>-7.6633925734856279E-2</v>
      </c>
    </row>
    <row r="31" spans="1:8" ht="13.9" x14ac:dyDescent="0.4">
      <c r="A31" s="126" t="s">
        <v>244</v>
      </c>
      <c r="B31" s="126">
        <v>7</v>
      </c>
      <c r="C31" s="129">
        <v>43312</v>
      </c>
      <c r="D31" s="124">
        <v>7</v>
      </c>
      <c r="E31" s="124">
        <v>3517.6570000000002</v>
      </c>
      <c r="G31" s="123">
        <f t="shared" si="0"/>
        <v>0.23893805309734506</v>
      </c>
      <c r="H31" s="123">
        <f t="shared" si="1"/>
        <v>1.9003214197725882E-3</v>
      </c>
    </row>
    <row r="32" spans="1:8" ht="13.9" x14ac:dyDescent="0.4">
      <c r="A32" s="126" t="s">
        <v>244</v>
      </c>
      <c r="B32" s="126">
        <v>8</v>
      </c>
      <c r="C32" s="129">
        <v>43343</v>
      </c>
      <c r="D32" s="124">
        <v>6.28</v>
      </c>
      <c r="E32" s="124">
        <v>3334.5039999999999</v>
      </c>
      <c r="G32" s="123">
        <f t="shared" si="0"/>
        <v>-0.10285714285714287</v>
      </c>
      <c r="H32" s="123">
        <f t="shared" si="1"/>
        <v>-5.2066759209326019E-2</v>
      </c>
    </row>
    <row r="33" spans="1:8" ht="13.9" x14ac:dyDescent="0.4">
      <c r="A33" s="126" t="s">
        <v>244</v>
      </c>
      <c r="B33" s="126">
        <v>9</v>
      </c>
      <c r="C33" s="129">
        <v>43371</v>
      </c>
      <c r="D33" s="124">
        <v>6.37</v>
      </c>
      <c r="E33" s="124">
        <v>3438.8649999999998</v>
      </c>
      <c r="G33" s="123">
        <f t="shared" si="0"/>
        <v>1.4331210191082855E-2</v>
      </c>
      <c r="H33" s="123">
        <f t="shared" si="1"/>
        <v>3.1297308385294986E-2</v>
      </c>
    </row>
    <row r="34" spans="1:8" ht="13.9" x14ac:dyDescent="0.4">
      <c r="A34" s="126" t="s">
        <v>244</v>
      </c>
      <c r="B34" s="126">
        <v>10</v>
      </c>
      <c r="C34" s="129">
        <v>43404</v>
      </c>
      <c r="D34" s="124">
        <v>5.66</v>
      </c>
      <c r="E34" s="124">
        <v>3153.8229999999999</v>
      </c>
      <c r="G34" s="123">
        <f t="shared" si="0"/>
        <v>-0.1114599686028257</v>
      </c>
      <c r="H34" s="123">
        <f t="shared" si="1"/>
        <v>-8.2888394862839943E-2</v>
      </c>
    </row>
    <row r="35" spans="1:8" ht="13.9" x14ac:dyDescent="0.4">
      <c r="A35" s="126" t="s">
        <v>244</v>
      </c>
      <c r="B35" s="126">
        <v>11</v>
      </c>
      <c r="C35" s="129">
        <v>43434</v>
      </c>
      <c r="D35" s="124">
        <v>5.44</v>
      </c>
      <c r="E35" s="124">
        <v>3172.69</v>
      </c>
      <c r="G35" s="123">
        <f t="shared" si="0"/>
        <v>-3.8869257950529978E-2</v>
      </c>
      <c r="H35" s="123">
        <f t="shared" si="1"/>
        <v>5.9822634307633571E-3</v>
      </c>
    </row>
    <row r="36" spans="1:8" ht="13.9" x14ac:dyDescent="0.4">
      <c r="A36" s="126" t="s">
        <v>244</v>
      </c>
      <c r="B36" s="126">
        <v>12</v>
      </c>
      <c r="C36" s="129">
        <v>43462</v>
      </c>
      <c r="D36" s="124">
        <v>5.0199999999999996</v>
      </c>
      <c r="E36" s="124">
        <v>3010.654</v>
      </c>
      <c r="G36" s="123">
        <f t="shared" si="0"/>
        <v>-7.7205882352941346E-2</v>
      </c>
      <c r="H36" s="123">
        <f t="shared" si="1"/>
        <v>-5.1072118612281669E-2</v>
      </c>
    </row>
    <row r="37" spans="1:8" ht="13.9" x14ac:dyDescent="0.4">
      <c r="A37" s="126" t="s">
        <v>209</v>
      </c>
      <c r="B37" s="126">
        <v>1</v>
      </c>
      <c r="C37" s="129">
        <v>43496</v>
      </c>
      <c r="D37" s="124">
        <v>4.25</v>
      </c>
      <c r="E37" s="124">
        <v>3201.6329999999998</v>
      </c>
      <c r="G37" s="123">
        <f t="shared" si="0"/>
        <v>-0.15338645418326691</v>
      </c>
      <c r="H37" s="123">
        <f t="shared" si="1"/>
        <v>6.3434390002969465E-2</v>
      </c>
    </row>
    <row r="38" spans="1:8" ht="13.9" x14ac:dyDescent="0.4">
      <c r="A38" s="126" t="s">
        <v>245</v>
      </c>
      <c r="B38" s="126">
        <v>2</v>
      </c>
      <c r="C38" s="129">
        <v>43524</v>
      </c>
      <c r="D38" s="124">
        <v>5.0999999999999996</v>
      </c>
      <c r="E38" s="124">
        <v>3669.37</v>
      </c>
      <c r="G38" s="123">
        <f t="shared" si="0"/>
        <v>0.19999999999999996</v>
      </c>
      <c r="H38" s="123">
        <f t="shared" si="1"/>
        <v>0.14609325928362193</v>
      </c>
    </row>
    <row r="39" spans="1:8" ht="13.9" x14ac:dyDescent="0.4">
      <c r="A39" s="126" t="s">
        <v>245</v>
      </c>
      <c r="B39" s="126">
        <v>3</v>
      </c>
      <c r="C39" s="129">
        <v>43553</v>
      </c>
      <c r="D39" s="124">
        <v>5.84</v>
      </c>
      <c r="E39" s="124">
        <v>3872.3409999999999</v>
      </c>
      <c r="G39" s="123">
        <f t="shared" si="0"/>
        <v>0.14509803921568643</v>
      </c>
      <c r="H39" s="123">
        <f t="shared" si="1"/>
        <v>5.5314945072314936E-2</v>
      </c>
    </row>
    <row r="40" spans="1:8" ht="13.9" x14ac:dyDescent="0.4">
      <c r="A40" s="126" t="s">
        <v>245</v>
      </c>
      <c r="B40" s="126">
        <v>4</v>
      </c>
      <c r="C40" s="129">
        <v>43585</v>
      </c>
      <c r="D40" s="124">
        <v>5.85</v>
      </c>
      <c r="E40" s="124">
        <v>3913.2109999999998</v>
      </c>
      <c r="G40" s="123">
        <f t="shared" si="0"/>
        <v>1.712328767123239E-3</v>
      </c>
      <c r="H40" s="123">
        <f t="shared" si="1"/>
        <v>1.055433909358694E-2</v>
      </c>
    </row>
    <row r="41" spans="1:8" ht="13.9" x14ac:dyDescent="0.4">
      <c r="A41" s="126" t="s">
        <v>245</v>
      </c>
      <c r="B41" s="126">
        <v>5</v>
      </c>
      <c r="C41" s="129">
        <v>43616</v>
      </c>
      <c r="D41" s="124">
        <v>5.74</v>
      </c>
      <c r="E41" s="124">
        <v>3629.7890000000002</v>
      </c>
      <c r="G41" s="123">
        <f t="shared" si="0"/>
        <v>-1.8803418803418737E-2</v>
      </c>
      <c r="H41" s="123">
        <f t="shared" si="1"/>
        <v>-7.2426965987778202E-2</v>
      </c>
    </row>
    <row r="42" spans="1:8" ht="13.9" x14ac:dyDescent="0.4">
      <c r="A42" s="126" t="s">
        <v>245</v>
      </c>
      <c r="B42" s="126">
        <v>6</v>
      </c>
      <c r="C42" s="129">
        <v>43644</v>
      </c>
      <c r="D42" s="124">
        <v>5.78</v>
      </c>
      <c r="E42" s="124">
        <v>3825.587</v>
      </c>
      <c r="G42" s="123">
        <f t="shared" si="0"/>
        <v>6.9686411149825211E-3</v>
      </c>
      <c r="H42" s="123">
        <f t="shared" si="1"/>
        <v>5.394197844557902E-2</v>
      </c>
    </row>
    <row r="43" spans="1:8" ht="13.9" x14ac:dyDescent="0.4">
      <c r="A43" s="126" t="s">
        <v>245</v>
      </c>
      <c r="B43" s="126">
        <v>7</v>
      </c>
      <c r="C43" s="129">
        <v>43677</v>
      </c>
      <c r="D43" s="124">
        <v>5.23</v>
      </c>
      <c r="E43" s="124">
        <v>3835.3589999999999</v>
      </c>
      <c r="G43" s="123">
        <f t="shared" si="0"/>
        <v>-9.5155709342560568E-2</v>
      </c>
      <c r="H43" s="123">
        <f t="shared" si="1"/>
        <v>2.5543792364413065E-3</v>
      </c>
    </row>
    <row r="44" spans="1:8" ht="13.9" x14ac:dyDescent="0.4">
      <c r="A44" s="126" t="s">
        <v>245</v>
      </c>
      <c r="B44" s="126">
        <v>8</v>
      </c>
      <c r="C44" s="129">
        <v>43707</v>
      </c>
      <c r="D44" s="124">
        <v>5</v>
      </c>
      <c r="E44" s="124">
        <v>3799.5859999999998</v>
      </c>
      <c r="G44" s="123">
        <f t="shared" si="0"/>
        <v>-4.3977055449330837E-2</v>
      </c>
      <c r="H44" s="123">
        <f t="shared" si="1"/>
        <v>-9.3271581617262456E-3</v>
      </c>
    </row>
    <row r="45" spans="1:8" ht="13.9" x14ac:dyDescent="0.4">
      <c r="A45" s="126" t="s">
        <v>245</v>
      </c>
      <c r="B45" s="126">
        <v>9</v>
      </c>
      <c r="C45" s="129">
        <v>43738</v>
      </c>
      <c r="D45" s="124">
        <v>5.0199999999999996</v>
      </c>
      <c r="E45" s="124">
        <v>3814.5279999999998</v>
      </c>
      <c r="G45" s="123">
        <f t="shared" si="0"/>
        <v>4.0000000000000036E-3</v>
      </c>
      <c r="H45" s="123">
        <f t="shared" si="1"/>
        <v>3.9325337023559115E-3</v>
      </c>
    </row>
    <row r="46" spans="1:8" ht="13.9" x14ac:dyDescent="0.4">
      <c r="A46" s="126" t="s">
        <v>245</v>
      </c>
      <c r="B46" s="126">
        <v>10</v>
      </c>
      <c r="C46" s="129">
        <v>43769</v>
      </c>
      <c r="D46" s="124">
        <v>4.72</v>
      </c>
      <c r="E46" s="124">
        <v>3886.752</v>
      </c>
      <c r="G46" s="123">
        <f t="shared" si="0"/>
        <v>-5.9760956175298752E-2</v>
      </c>
      <c r="H46" s="123">
        <f t="shared" si="1"/>
        <v>1.8933928391664745E-2</v>
      </c>
    </row>
    <row r="47" spans="1:8" ht="13.9" x14ac:dyDescent="0.4">
      <c r="A47" s="126" t="s">
        <v>245</v>
      </c>
      <c r="B47" s="126">
        <v>11</v>
      </c>
      <c r="C47" s="129">
        <v>43798</v>
      </c>
      <c r="D47" s="124">
        <v>4.5199999999999996</v>
      </c>
      <c r="E47" s="124">
        <v>3828.6709999999998</v>
      </c>
      <c r="G47" s="123">
        <f t="shared" si="0"/>
        <v>-4.2372881355932202E-2</v>
      </c>
      <c r="H47" s="123">
        <f t="shared" si="1"/>
        <v>-1.4943325429561782E-2</v>
      </c>
    </row>
    <row r="48" spans="1:8" ht="13.9" x14ac:dyDescent="0.4">
      <c r="A48" s="126" t="s">
        <v>245</v>
      </c>
      <c r="B48" s="126">
        <v>12</v>
      </c>
      <c r="C48" s="129">
        <v>43830</v>
      </c>
      <c r="D48" s="124">
        <v>4.57</v>
      </c>
      <c r="E48" s="124">
        <v>4096.5820000000003</v>
      </c>
      <c r="G48" s="123">
        <f t="shared" si="0"/>
        <v>1.106194690265494E-2</v>
      </c>
      <c r="H48" s="123">
        <f t="shared" si="1"/>
        <v>6.9974933860861954E-2</v>
      </c>
    </row>
    <row r="49" spans="1:8" ht="13.9" x14ac:dyDescent="0.4">
      <c r="A49" s="126" t="s">
        <v>208</v>
      </c>
      <c r="B49" s="126">
        <v>1</v>
      </c>
      <c r="C49" s="129">
        <v>43853</v>
      </c>
      <c r="D49" s="124">
        <v>4.46</v>
      </c>
      <c r="E49" s="124">
        <v>4003.9009999999998</v>
      </c>
      <c r="G49" s="123">
        <f t="shared" si="0"/>
        <v>-2.4070021881838155E-2</v>
      </c>
      <c r="H49" s="123">
        <f t="shared" si="1"/>
        <v>-2.2623982627468564E-2</v>
      </c>
    </row>
    <row r="50" spans="1:8" ht="13.9" x14ac:dyDescent="0.4">
      <c r="A50" s="126" t="s">
        <v>246</v>
      </c>
      <c r="B50" s="126">
        <v>2</v>
      </c>
      <c r="C50" s="129">
        <v>43889</v>
      </c>
      <c r="D50" s="124">
        <v>4.3899999999999997</v>
      </c>
      <c r="E50" s="124">
        <v>3940.049</v>
      </c>
      <c r="G50" s="123">
        <f t="shared" si="0"/>
        <v>-1.5695067264574036E-2</v>
      </c>
      <c r="H50" s="123">
        <f t="shared" si="1"/>
        <v>-1.5947447252067426E-2</v>
      </c>
    </row>
    <row r="51" spans="1:8" ht="13.9" x14ac:dyDescent="0.4">
      <c r="A51" s="126" t="s">
        <v>246</v>
      </c>
      <c r="B51" s="126">
        <v>3</v>
      </c>
      <c r="C51" s="129">
        <v>43921</v>
      </c>
      <c r="D51" s="124">
        <v>4.47</v>
      </c>
      <c r="E51" s="124">
        <v>3686.1550000000002</v>
      </c>
      <c r="G51" s="123">
        <f t="shared" si="0"/>
        <v>1.8223234624145768E-2</v>
      </c>
      <c r="H51" s="123">
        <f t="shared" si="1"/>
        <v>-6.4439300120379128E-2</v>
      </c>
    </row>
    <row r="52" spans="1:8" ht="13.9" x14ac:dyDescent="0.4">
      <c r="A52" s="126" t="s">
        <v>246</v>
      </c>
      <c r="B52" s="126">
        <v>4</v>
      </c>
      <c r="C52" s="129">
        <v>43951</v>
      </c>
      <c r="D52" s="124">
        <v>4.22</v>
      </c>
      <c r="E52" s="124">
        <v>3912.5770000000002</v>
      </c>
      <c r="G52" s="123">
        <f t="shared" si="0"/>
        <v>-5.5928411633109576E-2</v>
      </c>
      <c r="H52" s="123">
        <f t="shared" si="1"/>
        <v>6.1424980772647908E-2</v>
      </c>
    </row>
    <row r="53" spans="1:8" ht="13.9" x14ac:dyDescent="0.4">
      <c r="A53" s="126" t="s">
        <v>246</v>
      </c>
      <c r="B53" s="126">
        <v>5</v>
      </c>
      <c r="C53" s="129">
        <v>43980</v>
      </c>
      <c r="D53" s="124">
        <v>3.95</v>
      </c>
      <c r="E53" s="124">
        <v>3867.0230000000001</v>
      </c>
      <c r="G53" s="123">
        <f t="shared" si="0"/>
        <v>-6.3981042654028375E-2</v>
      </c>
      <c r="H53" s="123">
        <f t="shared" si="1"/>
        <v>-1.1642965748661305E-2</v>
      </c>
    </row>
    <row r="54" spans="1:8" ht="13.9" x14ac:dyDescent="0.4">
      <c r="A54" s="126" t="s">
        <v>246</v>
      </c>
      <c r="B54" s="126">
        <v>6</v>
      </c>
      <c r="C54" s="129">
        <v>44012</v>
      </c>
      <c r="D54" s="124">
        <v>3.95</v>
      </c>
      <c r="E54" s="124">
        <v>4163.9639999999999</v>
      </c>
      <c r="G54" s="123">
        <f t="shared" si="0"/>
        <v>0</v>
      </c>
      <c r="H54" s="123">
        <f t="shared" si="1"/>
        <v>7.6788009794614531E-2</v>
      </c>
    </row>
    <row r="55" spans="1:8" ht="13.9" x14ac:dyDescent="0.4">
      <c r="A55" s="126" t="s">
        <v>246</v>
      </c>
      <c r="B55" s="126">
        <v>7</v>
      </c>
      <c r="C55" s="129">
        <v>44043</v>
      </c>
      <c r="D55" s="124">
        <v>3.93</v>
      </c>
      <c r="E55" s="124">
        <v>4695.0460000000003</v>
      </c>
      <c r="G55" s="123">
        <f t="shared" si="0"/>
        <v>-5.0632911392405333E-3</v>
      </c>
      <c r="H55" s="123">
        <f t="shared" si="1"/>
        <v>0.12754240910824399</v>
      </c>
    </row>
    <row r="56" spans="1:8" ht="13.9" x14ac:dyDescent="0.4">
      <c r="A56" s="126" t="s">
        <v>246</v>
      </c>
      <c r="B56" s="126">
        <v>8</v>
      </c>
      <c r="C56" s="129">
        <v>44074</v>
      </c>
      <c r="D56" s="124">
        <v>4.17</v>
      </c>
      <c r="E56" s="124">
        <v>4816.2150000000001</v>
      </c>
      <c r="G56" s="123">
        <f t="shared" si="0"/>
        <v>6.1068702290076216E-2</v>
      </c>
      <c r="H56" s="123">
        <f t="shared" si="1"/>
        <v>2.5807840860345044E-2</v>
      </c>
    </row>
    <row r="57" spans="1:8" ht="13.9" x14ac:dyDescent="0.4">
      <c r="A57" s="126" t="s">
        <v>246</v>
      </c>
      <c r="B57" s="126">
        <v>9</v>
      </c>
      <c r="C57" s="129">
        <v>44104</v>
      </c>
      <c r="D57" s="124">
        <v>3.8</v>
      </c>
      <c r="E57" s="124">
        <v>4587.3950000000004</v>
      </c>
      <c r="G57" s="123">
        <f t="shared" si="0"/>
        <v>-8.8729016786570747E-2</v>
      </c>
      <c r="H57" s="123">
        <f t="shared" si="1"/>
        <v>-4.7510337474552022E-2</v>
      </c>
    </row>
    <row r="58" spans="1:8" ht="13.9" x14ac:dyDescent="0.4">
      <c r="A58" s="126" t="s">
        <v>246</v>
      </c>
      <c r="B58" s="126">
        <v>10</v>
      </c>
      <c r="C58" s="129">
        <v>44134</v>
      </c>
      <c r="D58" s="124">
        <v>3.32</v>
      </c>
      <c r="E58" s="124">
        <v>4695.3339999999998</v>
      </c>
      <c r="G58" s="123">
        <f t="shared" si="0"/>
        <v>-0.12631578947368416</v>
      </c>
      <c r="H58" s="123">
        <f t="shared" si="1"/>
        <v>2.3529475879011885E-2</v>
      </c>
    </row>
    <row r="59" spans="1:8" ht="13.9" x14ac:dyDescent="0.4">
      <c r="A59" s="126" t="s">
        <v>246</v>
      </c>
      <c r="B59" s="126">
        <v>11</v>
      </c>
      <c r="C59" s="129">
        <v>44165</v>
      </c>
      <c r="D59" s="124">
        <v>3.39</v>
      </c>
      <c r="E59" s="124">
        <v>4960.2520000000004</v>
      </c>
      <c r="G59" s="123">
        <f t="shared" si="0"/>
        <v>2.108433734939763E-2</v>
      </c>
      <c r="H59" s="123">
        <f t="shared" si="1"/>
        <v>5.6421545304338405E-2</v>
      </c>
    </row>
    <row r="60" spans="1:8" ht="13.9" x14ac:dyDescent="0.4">
      <c r="A60" s="126" t="s">
        <v>246</v>
      </c>
      <c r="B60" s="126">
        <v>12</v>
      </c>
      <c r="C60" s="129">
        <v>44196</v>
      </c>
      <c r="D60" s="124">
        <v>4.12</v>
      </c>
      <c r="E60" s="124">
        <v>5211.2879999999996</v>
      </c>
      <c r="G60" s="123">
        <f t="shared" si="0"/>
        <v>0.21533923303834812</v>
      </c>
      <c r="H60" s="123">
        <f t="shared" si="1"/>
        <v>5.0609525483785722E-2</v>
      </c>
    </row>
    <row r="61" spans="1:8" ht="13.9" x14ac:dyDescent="0.4">
      <c r="A61" s="126" t="s">
        <v>207</v>
      </c>
      <c r="B61" s="126">
        <v>1</v>
      </c>
      <c r="C61" s="129">
        <v>44225</v>
      </c>
      <c r="D61" s="124">
        <v>3.07</v>
      </c>
      <c r="E61" s="124">
        <v>5351.9650000000001</v>
      </c>
      <c r="G61" s="123">
        <f t="shared" si="0"/>
        <v>-0.25485436893203894</v>
      </c>
      <c r="H61" s="123">
        <f t="shared" si="1"/>
        <v>2.6994670031669887E-2</v>
      </c>
    </row>
    <row r="62" spans="1:8" ht="13.9" x14ac:dyDescent="0.4">
      <c r="A62" s="126" t="s">
        <v>247</v>
      </c>
      <c r="B62" s="126">
        <v>2</v>
      </c>
      <c r="C62" s="129">
        <v>44253</v>
      </c>
      <c r="D62" s="124">
        <v>3.05</v>
      </c>
      <c r="E62" s="124">
        <v>5336.7610000000004</v>
      </c>
      <c r="G62" s="123">
        <f t="shared" si="0"/>
        <v>-6.514657980456029E-3</v>
      </c>
      <c r="H62" s="123">
        <f t="shared" si="1"/>
        <v>-2.8408257527842151E-3</v>
      </c>
    </row>
    <row r="63" spans="1:8" ht="13.9" x14ac:dyDescent="0.4">
      <c r="A63" s="126" t="s">
        <v>247</v>
      </c>
      <c r="B63" s="126">
        <v>3</v>
      </c>
      <c r="C63" s="129">
        <v>44286</v>
      </c>
      <c r="D63" s="124">
        <v>3.58</v>
      </c>
      <c r="E63" s="124">
        <v>5048.3609999999999</v>
      </c>
      <c r="G63" s="123">
        <f t="shared" si="0"/>
        <v>0.17377049180327875</v>
      </c>
      <c r="H63" s="123">
        <f t="shared" si="1"/>
        <v>-5.4040268994620666E-2</v>
      </c>
    </row>
    <row r="64" spans="1:8" ht="13.9" x14ac:dyDescent="0.4">
      <c r="A64" s="126" t="s">
        <v>247</v>
      </c>
      <c r="B64" s="126">
        <v>4</v>
      </c>
      <c r="C64" s="129">
        <v>44316</v>
      </c>
      <c r="D64" s="124">
        <v>3.24</v>
      </c>
      <c r="E64" s="124">
        <v>5123.4889999999996</v>
      </c>
      <c r="G64" s="123">
        <f t="shared" si="0"/>
        <v>-9.4972067039106101E-2</v>
      </c>
      <c r="H64" s="123">
        <f t="shared" si="1"/>
        <v>1.4881661592742512E-2</v>
      </c>
    </row>
    <row r="65" spans="1:8" ht="13.9" x14ac:dyDescent="0.4">
      <c r="A65" s="126" t="s">
        <v>247</v>
      </c>
      <c r="B65" s="126">
        <v>5</v>
      </c>
      <c r="C65" s="129">
        <v>44347</v>
      </c>
      <c r="D65" s="124">
        <v>4.01</v>
      </c>
      <c r="E65" s="124">
        <v>5331.57</v>
      </c>
      <c r="G65" s="123">
        <f t="shared" si="0"/>
        <v>0.23765432098765427</v>
      </c>
      <c r="H65" s="123">
        <f t="shared" si="1"/>
        <v>4.0613144675434976E-2</v>
      </c>
    </row>
    <row r="66" spans="1:8" ht="13.9" x14ac:dyDescent="0.4">
      <c r="A66" s="126" t="s">
        <v>247</v>
      </c>
      <c r="B66" s="126">
        <v>6</v>
      </c>
      <c r="C66" s="129">
        <v>44377</v>
      </c>
      <c r="D66" s="124">
        <v>3.99</v>
      </c>
      <c r="E66" s="124">
        <v>5224.0410000000002</v>
      </c>
      <c r="G66" s="123">
        <f t="shared" si="0"/>
        <v>-4.9875311720697368E-3</v>
      </c>
      <c r="H66" s="123">
        <f t="shared" si="1"/>
        <v>-2.0168355662590898E-2</v>
      </c>
    </row>
    <row r="67" spans="1:8" ht="13.9" x14ac:dyDescent="0.4">
      <c r="A67" s="126" t="s">
        <v>247</v>
      </c>
      <c r="B67" s="126">
        <v>7</v>
      </c>
      <c r="C67" s="129">
        <v>44407</v>
      </c>
      <c r="D67" s="124">
        <v>4.68</v>
      </c>
      <c r="E67" s="124">
        <v>4811.1689999999999</v>
      </c>
      <c r="G67" s="123">
        <f t="shared" si="0"/>
        <v>0.1729323308270676</v>
      </c>
      <c r="H67" s="123">
        <f t="shared" si="1"/>
        <v>-7.9033070375979064E-2</v>
      </c>
    </row>
    <row r="68" spans="1:8" ht="13.9" x14ac:dyDescent="0.4">
      <c r="A68" s="126" t="s">
        <v>247</v>
      </c>
      <c r="B68" s="126">
        <v>8</v>
      </c>
      <c r="C68" s="129">
        <v>44439</v>
      </c>
      <c r="D68" s="124">
        <v>4.68</v>
      </c>
      <c r="E68" s="124">
        <v>4805.6099999999997</v>
      </c>
      <c r="G68" s="123">
        <f t="shared" ref="G68:G72" si="2">D68/D67-1</f>
        <v>0</v>
      </c>
      <c r="H68" s="123">
        <f t="shared" ref="H68:H72" si="3">E68/E67-1</f>
        <v>-1.1554364438247644E-3</v>
      </c>
    </row>
    <row r="69" spans="1:8" ht="13.9" x14ac:dyDescent="0.4">
      <c r="A69" s="126" t="s">
        <v>247</v>
      </c>
      <c r="B69" s="126">
        <v>9</v>
      </c>
      <c r="C69" s="129">
        <v>44469</v>
      </c>
      <c r="D69" s="124">
        <v>4.53</v>
      </c>
      <c r="E69" s="124">
        <v>4866.3829999999998</v>
      </c>
      <c r="G69" s="123">
        <f t="shared" si="2"/>
        <v>-3.2051282051281937E-2</v>
      </c>
      <c r="H69" s="123">
        <f t="shared" si="3"/>
        <v>1.2646261348715493E-2</v>
      </c>
    </row>
    <row r="70" spans="1:8" ht="13.9" x14ac:dyDescent="0.4">
      <c r="A70" s="126" t="s">
        <v>247</v>
      </c>
      <c r="B70" s="126">
        <v>10</v>
      </c>
      <c r="C70" s="129">
        <v>44498</v>
      </c>
      <c r="D70" s="124">
        <v>3.71</v>
      </c>
      <c r="E70" s="124">
        <v>4908.7700000000004</v>
      </c>
      <c r="G70" s="123">
        <f t="shared" si="2"/>
        <v>-0.18101545253863138</v>
      </c>
      <c r="H70" s="123">
        <f t="shared" si="3"/>
        <v>8.7101652294940823E-3</v>
      </c>
    </row>
    <row r="71" spans="1:8" ht="13.9" x14ac:dyDescent="0.4">
      <c r="A71" s="126" t="s">
        <v>247</v>
      </c>
      <c r="B71" s="126">
        <v>11</v>
      </c>
      <c r="C71" s="129">
        <v>44530</v>
      </c>
      <c r="D71" s="124">
        <v>4.25</v>
      </c>
      <c r="E71" s="124">
        <v>4832.0259999999998</v>
      </c>
      <c r="G71" s="123">
        <f t="shared" si="2"/>
        <v>0.14555256064690036</v>
      </c>
      <c r="H71" s="123">
        <f t="shared" si="3"/>
        <v>-1.5634059041267023E-2</v>
      </c>
    </row>
    <row r="72" spans="1:8" ht="13.9" x14ac:dyDescent="0.4">
      <c r="A72" s="126" t="s">
        <v>247</v>
      </c>
      <c r="B72" s="126">
        <v>12</v>
      </c>
      <c r="C72" s="129">
        <v>44561</v>
      </c>
      <c r="D72" s="124">
        <v>4.74</v>
      </c>
      <c r="E72" s="124">
        <v>4940.3729999999996</v>
      </c>
      <c r="G72" s="123">
        <f t="shared" si="2"/>
        <v>0.11529411764705877</v>
      </c>
      <c r="H72" s="123">
        <f t="shared" si="3"/>
        <v>2.2422685639522655E-2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04DB-868F-443B-AB38-FB54914E31DE}">
  <dimension ref="A1:L54"/>
  <sheetViews>
    <sheetView topLeftCell="A25" zoomScaleNormal="70" workbookViewId="0">
      <selection activeCell="H38" sqref="H38"/>
    </sheetView>
  </sheetViews>
  <sheetFormatPr defaultColWidth="9.06640625" defaultRowHeight="11.65" x14ac:dyDescent="0.35"/>
  <cols>
    <col min="1" max="1" width="20.796875" style="9" customWidth="1"/>
    <col min="2" max="2" width="22.6640625" style="13" customWidth="1"/>
    <col min="3" max="3" width="18.9296875" style="13" customWidth="1"/>
    <col min="4" max="4" width="12.73046875" style="13" customWidth="1"/>
    <col min="5" max="5" width="14.46484375" style="9" customWidth="1"/>
    <col min="6" max="6" width="14.53125" style="9" customWidth="1"/>
    <col min="7" max="7" width="14.9296875" style="9" customWidth="1"/>
    <col min="8" max="8" width="15.46484375" style="9" customWidth="1"/>
    <col min="9" max="9" width="14.73046875" style="9" customWidth="1"/>
    <col min="10" max="10" width="14.59765625" style="9" customWidth="1"/>
    <col min="11" max="11" width="16" style="9" customWidth="1"/>
    <col min="12" max="16384" width="9.06640625" style="9"/>
  </cols>
  <sheetData>
    <row r="1" spans="1:11" x14ac:dyDescent="0.35">
      <c r="A1" s="10" t="s">
        <v>72</v>
      </c>
      <c r="B1" s="44"/>
    </row>
    <row r="2" spans="1:11" x14ac:dyDescent="0.35">
      <c r="A2" s="35" t="s">
        <v>90</v>
      </c>
      <c r="B2" s="45">
        <f>Cover!D4</f>
        <v>869375282</v>
      </c>
      <c r="C2" s="35" t="s">
        <v>75</v>
      </c>
      <c r="D2" s="45">
        <f>Cover!D3</f>
        <v>4.74</v>
      </c>
      <c r="F2" s="8"/>
      <c r="H2" s="8"/>
      <c r="K2" s="14"/>
    </row>
    <row r="3" spans="1:11" ht="13.15" x14ac:dyDescent="0.35">
      <c r="A3" s="1" t="s">
        <v>230</v>
      </c>
      <c r="B3" s="49"/>
      <c r="C3" s="35"/>
      <c r="D3" s="45"/>
      <c r="F3" s="8"/>
      <c r="H3" s="8"/>
      <c r="K3" s="14"/>
    </row>
    <row r="4" spans="1:11" x14ac:dyDescent="0.35">
      <c r="A4" s="5"/>
      <c r="B4" s="98"/>
      <c r="C4" s="6" t="s">
        <v>18</v>
      </c>
      <c r="D4" s="7" t="s">
        <v>18</v>
      </c>
      <c r="E4" s="8"/>
      <c r="F4" s="8"/>
      <c r="H4" s="8"/>
      <c r="K4" s="15"/>
    </row>
    <row r="5" spans="1:11" x14ac:dyDescent="0.35">
      <c r="B5" s="13" t="s">
        <v>18</v>
      </c>
      <c r="D5" s="16" t="s">
        <v>73</v>
      </c>
      <c r="E5" s="17"/>
      <c r="F5" s="17"/>
      <c r="G5" s="17"/>
      <c r="H5" s="17"/>
    </row>
    <row r="6" spans="1:11" ht="12.75" customHeight="1" x14ac:dyDescent="0.35">
      <c r="A6" s="33" t="s">
        <v>76</v>
      </c>
      <c r="B6" s="45">
        <v>10</v>
      </c>
      <c r="C6" s="16" t="s">
        <v>57</v>
      </c>
      <c r="D6" s="16" t="s">
        <v>57</v>
      </c>
      <c r="E6" s="17"/>
      <c r="F6" s="17"/>
      <c r="G6" s="17"/>
      <c r="H6" s="17"/>
      <c r="I6" s="17"/>
      <c r="J6" s="17"/>
    </row>
    <row r="7" spans="1:11" x14ac:dyDescent="0.35">
      <c r="A7" s="11" t="s">
        <v>77</v>
      </c>
      <c r="B7" s="139">
        <v>3.5000000000000003E-2</v>
      </c>
      <c r="C7" s="20"/>
      <c r="D7" s="16"/>
      <c r="E7" s="17"/>
      <c r="F7" s="17"/>
      <c r="G7" s="17"/>
      <c r="H7" s="17"/>
      <c r="I7" s="17"/>
      <c r="J7" s="17"/>
    </row>
    <row r="8" spans="1:11" ht="13.25" customHeight="1" x14ac:dyDescent="0.35">
      <c r="A8" s="33" t="s">
        <v>87</v>
      </c>
      <c r="B8" s="139">
        <v>0.01</v>
      </c>
      <c r="C8" s="20"/>
      <c r="D8" s="16"/>
      <c r="E8" s="17"/>
      <c r="F8" s="17"/>
      <c r="G8" s="17"/>
      <c r="H8" s="17"/>
      <c r="I8" s="17"/>
      <c r="J8" s="17"/>
    </row>
    <row r="10" spans="1:11" x14ac:dyDescent="0.35">
      <c r="A10" s="159" t="s">
        <v>268</v>
      </c>
      <c r="B10" s="159" t="s">
        <v>269</v>
      </c>
      <c r="C10" s="159" t="s">
        <v>270</v>
      </c>
      <c r="D10" s="161"/>
      <c r="E10" s="162"/>
      <c r="F10" s="17"/>
      <c r="G10" s="38" t="s">
        <v>89</v>
      </c>
      <c r="H10" s="17"/>
      <c r="I10" s="17"/>
      <c r="J10" s="17"/>
    </row>
    <row r="11" spans="1:11" x14ac:dyDescent="0.35">
      <c r="A11" s="17" t="s">
        <v>93</v>
      </c>
      <c r="B11" s="46">
        <v>2.5000000000000001E-2</v>
      </c>
      <c r="C11" s="37" t="s">
        <v>123</v>
      </c>
      <c r="D11" s="16"/>
      <c r="E11" s="17"/>
      <c r="F11" s="17"/>
      <c r="G11" s="17"/>
      <c r="H11" s="17"/>
      <c r="I11" s="17"/>
      <c r="J11" s="17"/>
    </row>
    <row r="12" spans="1:11" x14ac:dyDescent="0.35">
      <c r="A12" s="151" t="s">
        <v>88</v>
      </c>
      <c r="B12" s="152">
        <f>Beta!K1</f>
        <v>0.62016634193538955</v>
      </c>
      <c r="C12" s="153" t="s">
        <v>73</v>
      </c>
      <c r="D12" s="160"/>
      <c r="E12" s="151"/>
      <c r="F12" s="17"/>
      <c r="G12" s="17"/>
      <c r="H12" s="17"/>
      <c r="I12" s="17"/>
      <c r="J12" s="17"/>
    </row>
    <row r="13" spans="1:11" x14ac:dyDescent="0.35">
      <c r="A13" s="17" t="s">
        <v>95</v>
      </c>
      <c r="B13" s="46">
        <v>6.5000000000000002E-2</v>
      </c>
      <c r="C13" s="37" t="s">
        <v>124</v>
      </c>
      <c r="D13" s="16"/>
      <c r="E13" s="17"/>
      <c r="F13" s="17"/>
      <c r="G13" s="17"/>
      <c r="H13" s="17"/>
      <c r="I13" s="17"/>
      <c r="J13" s="17"/>
    </row>
    <row r="14" spans="1:11" x14ac:dyDescent="0.35">
      <c r="A14" s="151" t="s">
        <v>96</v>
      </c>
      <c r="B14" s="154">
        <f>B11+B12*(B13-B11)</f>
        <v>4.9806653677415588E-2</v>
      </c>
      <c r="C14" s="153"/>
      <c r="D14" s="160"/>
      <c r="E14" s="151"/>
      <c r="F14" s="17"/>
      <c r="G14" s="17"/>
      <c r="H14" s="17"/>
      <c r="I14" s="17"/>
      <c r="J14" s="17"/>
    </row>
    <row r="15" spans="1:11" x14ac:dyDescent="0.35">
      <c r="A15" s="17" t="s">
        <v>97</v>
      </c>
      <c r="B15" s="46">
        <f>AVERAGE(Assumption!E31:F31)</f>
        <v>5.4358590053077652E-2</v>
      </c>
      <c r="C15" s="20"/>
      <c r="D15" s="16"/>
      <c r="E15" s="17"/>
      <c r="F15" s="17"/>
      <c r="G15" s="17"/>
      <c r="H15" s="17"/>
      <c r="I15" s="17"/>
      <c r="J15" s="17"/>
    </row>
    <row r="16" spans="1:11" x14ac:dyDescent="0.35">
      <c r="A16" s="151" t="s">
        <v>98</v>
      </c>
      <c r="B16" s="155">
        <f>D2*B2</f>
        <v>4120838836.6800003</v>
      </c>
      <c r="C16" s="156" t="s">
        <v>91</v>
      </c>
      <c r="D16" s="160"/>
      <c r="E16" s="151"/>
      <c r="F16" s="17"/>
      <c r="G16" s="17"/>
      <c r="H16" s="17"/>
      <c r="I16" s="17"/>
      <c r="J16" s="17"/>
    </row>
    <row r="17" spans="1:12" x14ac:dyDescent="0.35">
      <c r="A17" s="17" t="s">
        <v>99</v>
      </c>
      <c r="B17" s="45">
        <f>BS!G15+BS!G20</f>
        <v>8425300000</v>
      </c>
      <c r="C17" s="37" t="s">
        <v>92</v>
      </c>
      <c r="D17" s="16"/>
      <c r="E17" s="17"/>
      <c r="F17" s="17"/>
      <c r="G17" s="17"/>
      <c r="H17" s="17"/>
      <c r="I17" s="17"/>
      <c r="J17" s="17"/>
    </row>
    <row r="18" spans="1:12" x14ac:dyDescent="0.35">
      <c r="A18" s="157" t="s">
        <v>58</v>
      </c>
      <c r="B18" s="158">
        <f>(B14*B16+B15*B17*(1-B19))/(B16+B17)</f>
        <v>5.0701339198016115E-2</v>
      </c>
      <c r="C18" s="153" t="s">
        <v>73</v>
      </c>
      <c r="D18" s="160" t="s">
        <v>73</v>
      </c>
      <c r="E18" s="151"/>
      <c r="F18" s="17"/>
      <c r="G18" s="17"/>
      <c r="H18" s="17"/>
      <c r="I18" s="17"/>
      <c r="J18" s="17"/>
    </row>
    <row r="19" spans="1:12" x14ac:dyDescent="0.35">
      <c r="A19" s="17" t="s">
        <v>100</v>
      </c>
      <c r="B19" s="46">
        <f>AVERAGE(Assumption!B11:F11)</f>
        <v>5.9229968084164142E-2</v>
      </c>
      <c r="C19" s="20"/>
      <c r="D19" s="16"/>
      <c r="E19" s="17"/>
      <c r="F19" s="17"/>
      <c r="G19" s="17"/>
      <c r="H19" s="17"/>
      <c r="I19" s="17"/>
      <c r="J19" s="17"/>
    </row>
    <row r="21" spans="1:12" ht="13.15" x14ac:dyDescent="0.35">
      <c r="A21" s="17"/>
      <c r="B21" s="99" t="s">
        <v>213</v>
      </c>
      <c r="C21" s="99" t="s">
        <v>214</v>
      </c>
      <c r="D21" s="99" t="s">
        <v>215</v>
      </c>
      <c r="E21" s="99" t="s">
        <v>216</v>
      </c>
      <c r="F21" s="99" t="s">
        <v>217</v>
      </c>
      <c r="G21" s="17"/>
      <c r="H21" s="17"/>
      <c r="I21" s="17"/>
      <c r="J21" s="17"/>
    </row>
    <row r="22" spans="1:12" ht="13.15" x14ac:dyDescent="0.4">
      <c r="A22" s="18" t="s">
        <v>79</v>
      </c>
      <c r="B22" s="101">
        <v>2022</v>
      </c>
      <c r="C22" s="101">
        <v>2023</v>
      </c>
      <c r="D22" s="101">
        <v>2024</v>
      </c>
      <c r="E22" s="101">
        <v>2025</v>
      </c>
      <c r="F22" s="101">
        <v>2026</v>
      </c>
      <c r="G22" s="22"/>
      <c r="H22" s="23"/>
      <c r="I22" s="23"/>
    </row>
    <row r="23" spans="1:12" x14ac:dyDescent="0.35">
      <c r="A23" s="17" t="s">
        <v>59</v>
      </c>
      <c r="B23" s="45">
        <f ca="1">FCFF!B15</f>
        <v>-4091747015.752923</v>
      </c>
      <c r="C23" s="45">
        <f ca="1">FCFF!C15</f>
        <v>336671533.30927759</v>
      </c>
      <c r="D23" s="45">
        <f ca="1">FCFF!D15</f>
        <v>908292190.74478912</v>
      </c>
      <c r="E23" s="45">
        <f ca="1">FCFF!E15</f>
        <v>-343528544.67926806</v>
      </c>
      <c r="F23" s="45">
        <f ca="1">FCFF!F15</f>
        <v>-309190860.69168675</v>
      </c>
      <c r="G23" s="24"/>
      <c r="H23" s="24"/>
      <c r="I23" s="24"/>
    </row>
    <row r="24" spans="1:12" s="10" customFormat="1" x14ac:dyDescent="0.35">
      <c r="A24" s="17"/>
      <c r="B24" s="45"/>
      <c r="C24" s="45"/>
      <c r="D24" s="45"/>
      <c r="E24" s="45"/>
      <c r="F24" s="45"/>
      <c r="G24" s="24"/>
      <c r="H24" s="24"/>
      <c r="I24" s="24"/>
      <c r="J24" s="9"/>
      <c r="K24" s="9"/>
      <c r="L24" s="9"/>
    </row>
    <row r="25" spans="1:12" ht="13.15" x14ac:dyDescent="0.35">
      <c r="A25" s="17"/>
      <c r="B25" s="99" t="s">
        <v>218</v>
      </c>
      <c r="C25" s="99" t="s">
        <v>219</v>
      </c>
      <c r="D25" s="99" t="s">
        <v>220</v>
      </c>
      <c r="E25" s="99" t="s">
        <v>221</v>
      </c>
      <c r="F25" s="99" t="s">
        <v>222</v>
      </c>
      <c r="G25" s="99" t="s">
        <v>223</v>
      </c>
      <c r="H25" s="99" t="s">
        <v>224</v>
      </c>
      <c r="I25" s="99" t="s">
        <v>225</v>
      </c>
      <c r="J25" s="99" t="s">
        <v>226</v>
      </c>
      <c r="K25" s="99" t="s">
        <v>227</v>
      </c>
    </row>
    <row r="26" spans="1:12" ht="13.15" x14ac:dyDescent="0.4">
      <c r="A26" s="34" t="s">
        <v>80</v>
      </c>
      <c r="B26" s="101">
        <v>2027</v>
      </c>
      <c r="C26" s="101">
        <v>2028</v>
      </c>
      <c r="D26" s="101">
        <v>2029</v>
      </c>
      <c r="E26" s="101">
        <v>2030</v>
      </c>
      <c r="F26" s="101">
        <v>2031</v>
      </c>
      <c r="G26" s="101">
        <v>2032</v>
      </c>
      <c r="H26" s="101">
        <v>2033</v>
      </c>
      <c r="I26" s="101">
        <v>2034</v>
      </c>
      <c r="J26" s="101">
        <v>2035</v>
      </c>
      <c r="K26" s="101">
        <v>2036</v>
      </c>
    </row>
    <row r="27" spans="1:12" s="10" customFormat="1" x14ac:dyDescent="0.3">
      <c r="A27" s="17" t="s">
        <v>59</v>
      </c>
      <c r="B27" s="45">
        <f ca="1">F23*(1+$B$7)</f>
        <v>-320012540.81589574</v>
      </c>
      <c r="C27" s="45">
        <f ca="1">B27*(1+$B$7)</f>
        <v>-331212979.74445206</v>
      </c>
      <c r="D27" s="45">
        <f t="shared" ref="D27:I27" ca="1" si="0">C27*(1+$B$7)</f>
        <v>-342805434.03550786</v>
      </c>
      <c r="E27" s="45">
        <f t="shared" ca="1" si="0"/>
        <v>-354803624.22675061</v>
      </c>
      <c r="F27" s="45">
        <f t="shared" ca="1" si="0"/>
        <v>-367221751.07468688</v>
      </c>
      <c r="G27" s="45">
        <f t="shared" ca="1" si="0"/>
        <v>-380074512.36230087</v>
      </c>
      <c r="H27" s="45">
        <f t="shared" ca="1" si="0"/>
        <v>-393377120.29498136</v>
      </c>
      <c r="I27" s="45">
        <f t="shared" ca="1" si="0"/>
        <v>-407145319.50530565</v>
      </c>
      <c r="J27" s="45">
        <f t="shared" ref="J27" ca="1" si="1">I27*(1+$B$7)</f>
        <v>-421395405.68799132</v>
      </c>
      <c r="K27" s="45">
        <f t="shared" ref="K27" ca="1" si="2">J27*(1+$B$7)</f>
        <v>-436144244.88707101</v>
      </c>
    </row>
    <row r="28" spans="1:12" x14ac:dyDescent="0.35">
      <c r="A28" s="17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2" x14ac:dyDescent="0.35">
      <c r="A29" s="167" t="s">
        <v>57</v>
      </c>
      <c r="B29" s="174" t="s">
        <v>81</v>
      </c>
      <c r="C29" s="27"/>
      <c r="D29" s="21"/>
      <c r="E29" s="25"/>
      <c r="F29" s="28"/>
      <c r="G29" s="10"/>
      <c r="H29" s="10"/>
      <c r="I29" s="10"/>
      <c r="J29" s="10"/>
      <c r="K29" s="10"/>
    </row>
    <row r="30" spans="1:12" x14ac:dyDescent="0.35">
      <c r="A30" s="33" t="s">
        <v>79</v>
      </c>
      <c r="B30" s="45">
        <f ca="1">(NPV(B18,B23:F23))</f>
        <v>-3329610088.5924067</v>
      </c>
      <c r="C30" s="36" t="s">
        <v>89</v>
      </c>
      <c r="D30" s="21"/>
      <c r="E30" s="25"/>
      <c r="F30" s="25"/>
    </row>
    <row r="31" spans="1:12" x14ac:dyDescent="0.35">
      <c r="A31" s="151" t="s">
        <v>80</v>
      </c>
      <c r="B31" s="155">
        <f ca="1">((NPV(B18,B27:K27))/(1+B18)^5)</f>
        <v>-2224703372.6579466</v>
      </c>
      <c r="C31" s="19"/>
      <c r="D31" s="21"/>
      <c r="E31" s="25"/>
      <c r="F31" s="25"/>
    </row>
    <row r="32" spans="1:12" x14ac:dyDescent="0.35">
      <c r="A32" s="33" t="s">
        <v>82</v>
      </c>
      <c r="B32" s="45">
        <f ca="1">(K27*(1+B8)*(1+B18)/(B18-B8)/(1+B18)^15)</f>
        <v>-5415428418.4657888</v>
      </c>
      <c r="C32" s="19"/>
      <c r="D32" s="21"/>
      <c r="E32" s="25"/>
      <c r="F32" s="25"/>
    </row>
    <row r="33" spans="1:11" ht="15" customHeight="1" x14ac:dyDescent="0.35">
      <c r="A33" s="168" t="s">
        <v>83</v>
      </c>
      <c r="B33" s="155">
        <f ca="1">SUM(B30:B32)</f>
        <v>-10969741879.716141</v>
      </c>
      <c r="C33" s="19"/>
      <c r="D33" s="21"/>
      <c r="E33" s="29"/>
      <c r="F33" s="25"/>
    </row>
    <row r="34" spans="1:11" ht="15.3" customHeight="1" x14ac:dyDescent="0.35">
      <c r="A34" s="30" t="s">
        <v>84</v>
      </c>
      <c r="B34" s="45">
        <f>BS!G3</f>
        <v>1463437485.76</v>
      </c>
      <c r="C34" s="19"/>
      <c r="D34" s="21"/>
      <c r="E34" s="29"/>
      <c r="F34" s="25"/>
    </row>
    <row r="35" spans="1:11" ht="23.65" x14ac:dyDescent="0.35">
      <c r="A35" s="169" t="s">
        <v>101</v>
      </c>
      <c r="B35" s="155">
        <f>BS!G26</f>
        <v>426965552.02999997</v>
      </c>
      <c r="C35" s="19"/>
      <c r="D35" s="21"/>
      <c r="E35" s="29"/>
      <c r="F35" s="25"/>
    </row>
    <row r="36" spans="1:11" ht="23.65" x14ac:dyDescent="0.35">
      <c r="A36" s="30" t="s">
        <v>94</v>
      </c>
      <c r="B36" s="45">
        <f>(BS!G20+BS!G15)</f>
        <v>8425300000</v>
      </c>
      <c r="C36" s="19"/>
      <c r="D36" s="21"/>
      <c r="E36" s="29"/>
      <c r="F36" s="25"/>
    </row>
    <row r="37" spans="1:11" ht="22.5" x14ac:dyDescent="0.35">
      <c r="A37" s="170" t="s">
        <v>102</v>
      </c>
      <c r="B37" s="171">
        <f ca="1">B33+B34-B35-B36</f>
        <v>-18358569945.986141</v>
      </c>
      <c r="C37" s="19"/>
      <c r="D37" s="21"/>
      <c r="E37" s="29"/>
      <c r="F37" s="25"/>
    </row>
    <row r="38" spans="1:11" ht="16.25" customHeight="1" x14ac:dyDescent="0.35">
      <c r="A38" s="17" t="s">
        <v>231</v>
      </c>
      <c r="B38" s="45">
        <f>B2</f>
        <v>869375282</v>
      </c>
      <c r="C38" s="19"/>
      <c r="D38" s="21"/>
      <c r="E38" s="29"/>
      <c r="F38" s="25"/>
    </row>
    <row r="39" spans="1:11" x14ac:dyDescent="0.35">
      <c r="A39" s="172" t="s">
        <v>85</v>
      </c>
      <c r="B39" s="173">
        <f ca="1">B37/B38</f>
        <v>-21.116967926385261</v>
      </c>
      <c r="C39" s="19"/>
      <c r="D39" s="21"/>
      <c r="E39" s="29"/>
      <c r="F39" s="25"/>
    </row>
    <row r="40" spans="1:11" s="10" customFormat="1" x14ac:dyDescent="0.35">
      <c r="A40" s="17"/>
      <c r="B40" s="12"/>
      <c r="C40" s="19"/>
      <c r="D40" s="21"/>
      <c r="E40" s="31"/>
      <c r="F40" s="25"/>
      <c r="G40" s="9"/>
      <c r="H40" s="9"/>
      <c r="I40" s="9"/>
      <c r="J40" s="9"/>
      <c r="K40" s="9"/>
    </row>
    <row r="42" spans="1:11" x14ac:dyDescent="0.35">
      <c r="A42" s="166" t="s">
        <v>86</v>
      </c>
      <c r="B42" s="176" t="s">
        <v>78</v>
      </c>
      <c r="C42" s="177"/>
      <c r="D42" s="177"/>
      <c r="E42" s="177"/>
      <c r="F42" s="177"/>
      <c r="G42" s="178"/>
      <c r="H42" s="178"/>
      <c r="I42" s="163"/>
      <c r="J42" s="163"/>
      <c r="K42" s="10"/>
    </row>
    <row r="43" spans="1:11" x14ac:dyDescent="0.35">
      <c r="A43" s="32" t="s">
        <v>60</v>
      </c>
      <c r="B43" s="47">
        <f>C43-0.5%</f>
        <v>0</v>
      </c>
      <c r="C43" s="47">
        <f>D43-0.5%</f>
        <v>5.0000000000000001E-3</v>
      </c>
      <c r="D43" s="47">
        <f>INT(B8*100+0.5)/100</f>
        <v>0.01</v>
      </c>
      <c r="E43" s="47">
        <f t="shared" ref="E43:J43" si="3">D43+0.5%</f>
        <v>1.4999999999999999E-2</v>
      </c>
      <c r="F43" s="47">
        <f t="shared" si="3"/>
        <v>0.02</v>
      </c>
      <c r="G43" s="47">
        <f t="shared" si="3"/>
        <v>2.5000000000000001E-2</v>
      </c>
      <c r="H43" s="47">
        <f t="shared" si="3"/>
        <v>3.0000000000000002E-2</v>
      </c>
      <c r="I43" s="47">
        <f t="shared" si="3"/>
        <v>3.5000000000000003E-2</v>
      </c>
      <c r="J43" s="47">
        <f t="shared" si="3"/>
        <v>0.04</v>
      </c>
    </row>
    <row r="44" spans="1:11" x14ac:dyDescent="0.35">
      <c r="A44" s="164">
        <f>A45-0.5%</f>
        <v>2.5000000000000008E-2</v>
      </c>
      <c r="B44" s="165">
        <f t="shared" ref="B44:J44" ca="1" si="4">((NPV($A$44,$B$23:$F$23)+(NPV($A$44,$B$27:$K$27))/(1+$A$44)^5+$K$27*(1+B43)/($A$44-B43)/(1+$A$44)^15)+$B$34-$B$35-$B$36)/$B$2</f>
        <v>-29.597002031794474</v>
      </c>
      <c r="C44" s="165">
        <f t="shared" ca="1" si="4"/>
        <v>-33.147495699738123</v>
      </c>
      <c r="D44" s="165">
        <f t="shared" ca="1" si="4"/>
        <v>-39.06498514631086</v>
      </c>
      <c r="E44" s="165">
        <f t="shared" ca="1" si="4"/>
        <v>-50.899964039456322</v>
      </c>
      <c r="F44" s="165">
        <f t="shared" ca="1" si="4"/>
        <v>-86.404900718892733</v>
      </c>
      <c r="G44" s="165">
        <f t="shared" ca="1" si="4"/>
        <v>-5.1168006271783424E+16</v>
      </c>
      <c r="H44" s="165">
        <f t="shared" ca="1" si="4"/>
        <v>55.614845998853127</v>
      </c>
      <c r="I44" s="165">
        <f t="shared" ca="1" si="4"/>
        <v>20.109909319416584</v>
      </c>
      <c r="J44" s="165">
        <f t="shared" ca="1" si="4"/>
        <v>8.2749304262710961</v>
      </c>
    </row>
    <row r="45" spans="1:11" x14ac:dyDescent="0.35">
      <c r="A45" s="47">
        <f>A46-0.5%</f>
        <v>3.0000000000000009E-2</v>
      </c>
      <c r="B45" s="48">
        <f t="shared" ref="B45:J45" ca="1" si="5">((NPV($A$45,$B$23:$F$23)+(NPV($A$45,$B$27:$K$27))/(1+$A$45)^5+$K$27*(1+B43)/($A$45-B43)/(1+$A$45)^15)+$B$34-$B$35-$B$36)/$B$2</f>
        <v>-26.289695972042821</v>
      </c>
      <c r="C45" s="48">
        <f t="shared" ca="1" si="5"/>
        <v>-28.500806502942861</v>
      </c>
      <c r="D45" s="48">
        <f t="shared" ca="1" si="5"/>
        <v>-31.817472299292916</v>
      </c>
      <c r="E45" s="48">
        <f t="shared" ca="1" si="5"/>
        <v>-37.345248626543018</v>
      </c>
      <c r="F45" s="48">
        <f t="shared" ca="1" si="5"/>
        <v>-48.400801281043201</v>
      </c>
      <c r="G45" s="48">
        <f t="shared" ca="1" si="5"/>
        <v>-81.567459244543741</v>
      </c>
      <c r="H45" s="48">
        <f t="shared" ca="1" si="5"/>
        <v>-4.7798191502574768E+16</v>
      </c>
      <c r="I45" s="48">
        <f t="shared" ca="1" si="5"/>
        <v>51.099172609458684</v>
      </c>
      <c r="J45" s="48">
        <f t="shared" ca="1" si="5"/>
        <v>17.932514645958022</v>
      </c>
    </row>
    <row r="46" spans="1:11" x14ac:dyDescent="0.35">
      <c r="A46" s="164">
        <f>A47-0.5%</f>
        <v>3.500000000000001E-2</v>
      </c>
      <c r="B46" s="165">
        <f t="shared" ref="B46:J46" ca="1" si="6">((NPV($A$46,$B$23:$F$23)+(NPV($A$46,$B$27:$K$27))/(1+$A$46)^5+$K$27*(1+B43)/($A$46-B43)/(1+$A$46)^15)+$B$34-$B$35-$B$36)/$B$2</f>
        <v>-23.936388223065297</v>
      </c>
      <c r="C46" s="165">
        <f t="shared" ca="1" si="6"/>
        <v>-25.412226147277853</v>
      </c>
      <c r="D46" s="165">
        <f t="shared" ca="1" si="6"/>
        <v>-27.478399241175424</v>
      </c>
      <c r="E46" s="165">
        <f t="shared" ca="1" si="6"/>
        <v>-30.577658882021783</v>
      </c>
      <c r="F46" s="165">
        <f t="shared" ca="1" si="6"/>
        <v>-35.743091616765717</v>
      </c>
      <c r="G46" s="165">
        <f t="shared" ca="1" si="6"/>
        <v>-46.073957086253571</v>
      </c>
      <c r="H46" s="165">
        <f t="shared" ca="1" si="6"/>
        <v>-77.066553494717127</v>
      </c>
      <c r="I46" s="165">
        <f t="shared" ca="1" si="6"/>
        <v>-4.4665038603648312E+16</v>
      </c>
      <c r="J46" s="165">
        <f t="shared" ca="1" si="6"/>
        <v>46.903832139137393</v>
      </c>
    </row>
    <row r="47" spans="1:11" x14ac:dyDescent="0.35">
      <c r="A47" s="47">
        <f>A48-0.5%</f>
        <v>4.0000000000000008E-2</v>
      </c>
      <c r="B47" s="48">
        <f t="shared" ref="B47:J47" ca="1" si="7">((NPV($A$47,$B$23:$F$23)+(NPV($A$47,$B$27:$K$27))/(1+$A$47)^5+$K$27*(1+B43)/($A$47-B43)/(1+$A$47)^15)+$B$34-$B$35-$B$36)/$B$2</f>
        <v>-22.178813681441692</v>
      </c>
      <c r="C47" s="48">
        <f t="shared" ca="1" si="7"/>
        <v>-23.213474674526143</v>
      </c>
      <c r="D47" s="48">
        <f t="shared" ca="1" si="7"/>
        <v>-24.593022665305419</v>
      </c>
      <c r="E47" s="48">
        <f t="shared" ca="1" si="7"/>
        <v>-26.524389852396393</v>
      </c>
      <c r="F47" s="48">
        <f t="shared" ca="1" si="7"/>
        <v>-29.421440633032869</v>
      </c>
      <c r="G47" s="48">
        <f t="shared" ca="1" si="7"/>
        <v>-34.249858600760319</v>
      </c>
      <c r="H47" s="48">
        <f t="shared" ca="1" si="7"/>
        <v>-43.906694536215227</v>
      </c>
      <c r="I47" s="48">
        <f t="shared" ca="1" si="7"/>
        <v>-72.877202342579892</v>
      </c>
      <c r="J47" s="48">
        <f t="shared" ca="1" si="7"/>
        <v>-4.175090181167304E+16</v>
      </c>
    </row>
    <row r="48" spans="1:11" x14ac:dyDescent="0.35">
      <c r="A48" s="164">
        <f>A49-0.5%</f>
        <v>4.5000000000000005E-2</v>
      </c>
      <c r="B48" s="165">
        <f t="shared" ref="B48:J48" ca="1" si="8">((NPV($A$48,$B$23:$F$23)+(NPV($A$48,$B$27:$K$27))/(1+$A$48)^5+$K$27*(1+B43)/($A$48-B43)/(1+$A$48)^15)+$B$34-$B$35-$B$36)/$B$2</f>
        <v>-20.817965108706588</v>
      </c>
      <c r="C48" s="165">
        <f t="shared" ca="1" si="8"/>
        <v>-21.570440481695304</v>
      </c>
      <c r="D48" s="165">
        <f t="shared" ca="1" si="8"/>
        <v>-22.537908818395081</v>
      </c>
      <c r="E48" s="165">
        <f t="shared" ca="1" si="8"/>
        <v>-23.827866600661444</v>
      </c>
      <c r="F48" s="165">
        <f t="shared" ca="1" si="8"/>
        <v>-25.633807495834354</v>
      </c>
      <c r="G48" s="165">
        <f t="shared" ca="1" si="8"/>
        <v>-28.342718838593722</v>
      </c>
      <c r="H48" s="165">
        <f t="shared" ca="1" si="8"/>
        <v>-32.857571076526007</v>
      </c>
      <c r="I48" s="165">
        <f t="shared" ca="1" si="8"/>
        <v>-41.88727555239057</v>
      </c>
      <c r="J48" s="165">
        <f t="shared" ca="1" si="8"/>
        <v>-68.976388979984208</v>
      </c>
    </row>
    <row r="49" spans="1:10" x14ac:dyDescent="0.35">
      <c r="A49" s="47">
        <f>INT(B18*100+0.5)/100</f>
        <v>0.05</v>
      </c>
      <c r="B49" s="48">
        <f t="shared" ref="B49:J49" ca="1" si="9">((NPV($A$49,$B$23:$F$23)+(NPV($A$49,$B$27:$K$27))/(1+$A$49)^5+$K$27*(1+B43)/($A$49-B43)/(1+$A$49)^15)+$B$34-$B$35-$B$36)/$B$2</f>
        <v>-19.734462375188148</v>
      </c>
      <c r="C49" s="48">
        <f t="shared" ca="1" si="9"/>
        <v>-20.297529481564499</v>
      </c>
      <c r="D49" s="48">
        <f t="shared" ca="1" si="9"/>
        <v>-21.001363364534939</v>
      </c>
      <c r="E49" s="48">
        <f t="shared" ca="1" si="9"/>
        <v>-21.906292642639791</v>
      </c>
      <c r="F49" s="48">
        <f t="shared" ca="1" si="9"/>
        <v>-23.11286501344626</v>
      </c>
      <c r="G49" s="48">
        <f t="shared" ca="1" si="9"/>
        <v>-24.802066332575315</v>
      </c>
      <c r="H49" s="48">
        <f t="shared" ca="1" si="9"/>
        <v>-27.335868311268896</v>
      </c>
      <c r="I49" s="48">
        <f t="shared" ca="1" si="9"/>
        <v>-31.558871609091536</v>
      </c>
      <c r="J49" s="48">
        <f t="shared" ca="1" si="9"/>
        <v>-40.004878204736805</v>
      </c>
    </row>
    <row r="50" spans="1:10" x14ac:dyDescent="0.35">
      <c r="A50" s="164">
        <f>A49+0.5%</f>
        <v>5.5E-2</v>
      </c>
      <c r="B50" s="165">
        <f t="shared" ref="B50:J50" ca="1" si="10">((NPV($A$50,$B$23:$F$23)+(NPV($A$50,$B$27:$K$27))/(1+$A$50)^5+$K$27*(1+B43)/($A$50-B43)/(1+$A$50)^15)+$B$34-$B$35-$B$36)/$B$2</f>
        <v>-18.852356789406983</v>
      </c>
      <c r="C50" s="165">
        <f t="shared" ca="1" si="10"/>
        <v>-19.283404887865274</v>
      </c>
      <c r="D50" s="165">
        <f t="shared" ca="1" si="10"/>
        <v>-19.810241452647638</v>
      </c>
      <c r="E50" s="165">
        <f t="shared" ca="1" si="10"/>
        <v>-20.468787158625588</v>
      </c>
      <c r="F50" s="165">
        <f t="shared" ca="1" si="10"/>
        <v>-21.315488780597239</v>
      </c>
      <c r="G50" s="165">
        <f t="shared" ca="1" si="10"/>
        <v>-22.444424276559435</v>
      </c>
      <c r="H50" s="165">
        <f t="shared" ca="1" si="10"/>
        <v>-24.024933970906517</v>
      </c>
      <c r="I50" s="165">
        <f t="shared" ca="1" si="10"/>
        <v>-26.395698512427135</v>
      </c>
      <c r="J50" s="165">
        <f t="shared" ca="1" si="10"/>
        <v>-30.346972748294831</v>
      </c>
    </row>
    <row r="51" spans="1:10" x14ac:dyDescent="0.35">
      <c r="A51" s="47">
        <f>A50+0.5%</f>
        <v>0.06</v>
      </c>
      <c r="B51" s="48">
        <f t="shared" ref="B51:J51" ca="1" si="11">((NPV($A$51,$B$23:$F$23)+(NPV($A$51,$B$27:$K$27))/(1+$A$51)^5+$K$27*(1+B43)/($A$51-B43)/(1+$A$51)^15)+$B$34-$B$35-$B$36)/$B$2</f>
        <v>-18.121033370063685</v>
      </c>
      <c r="C51" s="48">
        <f t="shared" ca="1" si="11"/>
        <v>-18.457232673026507</v>
      </c>
      <c r="D51" s="48">
        <f t="shared" ca="1" si="11"/>
        <v>-18.860671836581897</v>
      </c>
      <c r="E51" s="48">
        <f t="shared" ca="1" si="11"/>
        <v>-19.353764147594038</v>
      </c>
      <c r="F51" s="48">
        <f t="shared" ca="1" si="11"/>
        <v>-19.97012953635922</v>
      </c>
      <c r="G51" s="48">
        <f t="shared" ca="1" si="11"/>
        <v>-20.762599321914447</v>
      </c>
      <c r="H51" s="48">
        <f t="shared" ca="1" si="11"/>
        <v>-21.819225702654748</v>
      </c>
      <c r="I51" s="48">
        <f t="shared" ca="1" si="11"/>
        <v>-23.298502635691172</v>
      </c>
      <c r="J51" s="48">
        <f t="shared" ca="1" si="11"/>
        <v>-25.517418035245814</v>
      </c>
    </row>
    <row r="52" spans="1:10" x14ac:dyDescent="0.35">
      <c r="A52" s="164">
        <f>A51+0.5%</f>
        <v>6.5000000000000002E-2</v>
      </c>
      <c r="B52" s="165">
        <f t="shared" ref="B52:J52" ca="1" si="12">((NPV($A$52,$B$23:$F$23)+(NPV($A$52,$B$27:$K$27))/(1+$A$52)^5+$K$27*(1+B43)/($A$52-B43)/(1+$A$52)^15)+$B$34-$B$35-$B$36)/$B$2</f>
        <v>-17.50546600642253</v>
      </c>
      <c r="C52" s="165">
        <f t="shared" ca="1" si="12"/>
        <v>-17.771804381868041</v>
      </c>
      <c r="D52" s="165">
        <f t="shared" ca="1" si="12"/>
        <v>-18.086567916485468</v>
      </c>
      <c r="E52" s="165">
        <f t="shared" ca="1" si="12"/>
        <v>-18.464284158026377</v>
      </c>
      <c r="F52" s="165">
        <f t="shared" ca="1" si="12"/>
        <v>-18.925937342131931</v>
      </c>
      <c r="G52" s="165">
        <f t="shared" ca="1" si="12"/>
        <v>-19.503003822263871</v>
      </c>
      <c r="H52" s="165">
        <f t="shared" ca="1" si="12"/>
        <v>-20.244946439576371</v>
      </c>
      <c r="I52" s="165">
        <f t="shared" ca="1" si="12"/>
        <v>-21.234203262659697</v>
      </c>
      <c r="J52" s="165">
        <f t="shared" ca="1" si="12"/>
        <v>-22.619162814976363</v>
      </c>
    </row>
    <row r="53" spans="1:10" x14ac:dyDescent="0.35">
      <c r="A53" s="47">
        <f>A52+0.5%</f>
        <v>7.0000000000000007E-2</v>
      </c>
      <c r="B53" s="48">
        <f t="shared" ref="B53:J53" ca="1" si="13">((NPV($A$53,$B$23:$F$23)+(NPV($A$53,$B$27:$K$27))/(1+$A$53)^5+$K$27*(1+B43)/($A$53-B43)/(1+$A$53)^15)+$B$34-$B$35-$B$36)/$B$2</f>
        <v>-16.98064905596339</v>
      </c>
      <c r="C53" s="48">
        <f t="shared" ca="1" si="13"/>
        <v>-17.19444948777824</v>
      </c>
      <c r="D53" s="48">
        <f t="shared" ca="1" si="13"/>
        <v>-17.443883324895562</v>
      </c>
      <c r="E53" s="48">
        <f t="shared" ca="1" si="13"/>
        <v>-17.738668768761492</v>
      </c>
      <c r="F53" s="48">
        <f t="shared" ca="1" si="13"/>
        <v>-18.092411301400606</v>
      </c>
      <c r="G53" s="48">
        <f t="shared" ca="1" si="13"/>
        <v>-18.524763285737297</v>
      </c>
      <c r="H53" s="48">
        <f t="shared" ca="1" si="13"/>
        <v>-19.065203266158168</v>
      </c>
      <c r="I53" s="48">
        <f t="shared" ca="1" si="13"/>
        <v>-19.760054669556428</v>
      </c>
      <c r="J53" s="48">
        <f t="shared" ca="1" si="13"/>
        <v>-20.686523207420777</v>
      </c>
    </row>
    <row r="54" spans="1:10" x14ac:dyDescent="0.35">
      <c r="A54" s="164">
        <f>A53+0.5%</f>
        <v>7.5000000000000011E-2</v>
      </c>
      <c r="B54" s="165">
        <f t="shared" ref="B54:J54" ca="1" si="14">((NPV($A$54,$B$23:$F$23)+(NPV($A$54,$B$27:$K$27))/(1+$A$54)^5+$K$27*(1+B43)/($A$54-B43)/(1+$A$54)^15)+$B$34-$B$35-$B$36)/$B$2</f>
        <v>-16.528256369342795</v>
      </c>
      <c r="C54" s="165">
        <f t="shared" ca="1" si="14"/>
        <v>-16.701842514698196</v>
      </c>
      <c r="D54" s="165">
        <f t="shared" ca="1" si="14"/>
        <v>-16.90213422087751</v>
      </c>
      <c r="E54" s="165">
        <f t="shared" ca="1" si="14"/>
        <v>-17.135807878086705</v>
      </c>
      <c r="F54" s="165">
        <f t="shared" ca="1" si="14"/>
        <v>-17.411967654788487</v>
      </c>
      <c r="G54" s="165">
        <f t="shared" ca="1" si="14"/>
        <v>-17.743359386830623</v>
      </c>
      <c r="H54" s="165">
        <f t="shared" ca="1" si="14"/>
        <v>-18.14839372599323</v>
      </c>
      <c r="I54" s="165">
        <f t="shared" ca="1" si="14"/>
        <v>-18.654686649946491</v>
      </c>
      <c r="J54" s="165">
        <f t="shared" ca="1" si="14"/>
        <v>-19.305634695029255</v>
      </c>
    </row>
  </sheetData>
  <mergeCells count="1">
    <mergeCell ref="B42:H42"/>
  </mergeCells>
  <phoneticPr fontId="5" type="noConversion"/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F2A5-BCEA-47FB-95B0-FEC9DC42B821}">
  <dimension ref="A1:U30"/>
  <sheetViews>
    <sheetView zoomScale="70" zoomScaleNormal="70" workbookViewId="0">
      <selection activeCell="G34" sqref="G34"/>
    </sheetView>
  </sheetViews>
  <sheetFormatPr defaultRowHeight="13.9" x14ac:dyDescent="0.4"/>
  <sheetData>
    <row r="1" spans="1:21" x14ac:dyDescent="0.4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</row>
    <row r="2" spans="1:21" x14ac:dyDescent="0.4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</row>
    <row r="3" spans="1:21" x14ac:dyDescent="0.4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</row>
    <row r="4" spans="1:21" x14ac:dyDescent="0.4">
      <c r="A4" s="175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</row>
    <row r="5" spans="1:21" x14ac:dyDescent="0.4">
      <c r="A5" s="175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</row>
    <row r="6" spans="1:21" x14ac:dyDescent="0.4">
      <c r="A6" s="175"/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</row>
    <row r="7" spans="1:21" x14ac:dyDescent="0.4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</row>
    <row r="8" spans="1:21" x14ac:dyDescent="0.4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</row>
    <row r="9" spans="1:21" x14ac:dyDescent="0.4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</row>
    <row r="10" spans="1:21" x14ac:dyDescent="0.4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</row>
    <row r="11" spans="1:21" x14ac:dyDescent="0.4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</row>
    <row r="12" spans="1:21" x14ac:dyDescent="0.4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</row>
    <row r="13" spans="1:21" x14ac:dyDescent="0.4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</row>
    <row r="14" spans="1:21" x14ac:dyDescent="0.4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</row>
    <row r="15" spans="1:21" x14ac:dyDescent="0.4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</row>
    <row r="16" spans="1:21" x14ac:dyDescent="0.4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</row>
    <row r="17" spans="1:21" x14ac:dyDescent="0.4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</row>
    <row r="18" spans="1:21" x14ac:dyDescent="0.4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</row>
    <row r="19" spans="1:21" x14ac:dyDescent="0.4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</row>
    <row r="20" spans="1:21" x14ac:dyDescent="0.4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</row>
    <row r="21" spans="1:21" x14ac:dyDescent="0.4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</row>
    <row r="22" spans="1:21" x14ac:dyDescent="0.4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</row>
    <row r="23" spans="1:21" x14ac:dyDescent="0.4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</row>
    <row r="24" spans="1:21" x14ac:dyDescent="0.4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</row>
    <row r="25" spans="1:21" x14ac:dyDescent="0.4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</row>
    <row r="26" spans="1:21" x14ac:dyDescent="0.4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</row>
    <row r="27" spans="1:21" x14ac:dyDescent="0.4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</row>
    <row r="28" spans="1:21" x14ac:dyDescent="0.4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</row>
    <row r="29" spans="1:21" x14ac:dyDescent="0.4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</row>
    <row r="30" spans="1:21" x14ac:dyDescent="0.4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shapeId="28673" r:id="rId4">
          <objectPr defaultSize="0" autoPict="0" r:id="rId5">
            <anchor moveWithCells="1">
              <from>
                <xdr:col>15</xdr:col>
                <xdr:colOff>114300</xdr:colOff>
                <xdr:row>0</xdr:row>
                <xdr:rowOff>57150</xdr:rowOff>
              </from>
              <to>
                <xdr:col>20</xdr:col>
                <xdr:colOff>604838</xdr:colOff>
                <xdr:row>14</xdr:row>
                <xdr:rowOff>80963</xdr:rowOff>
              </to>
            </anchor>
          </objectPr>
        </oleObject>
      </mc:Choice>
      <mc:Fallback>
        <oleObject shapeId="28673" r:id="rId4"/>
      </mc:Fallback>
    </mc:AlternateContent>
    <mc:AlternateContent xmlns:mc="http://schemas.openxmlformats.org/markup-compatibility/2006">
      <mc:Choice Requires="x14">
        <oleObject shapeId="28674" r:id="rId6">
          <objectPr defaultSize="0" autoPict="0" r:id="rId7">
            <anchor moveWithCells="1">
              <from>
                <xdr:col>8</xdr:col>
                <xdr:colOff>285750</xdr:colOff>
                <xdr:row>1</xdr:row>
                <xdr:rowOff>147638</xdr:rowOff>
              </from>
              <to>
                <xdr:col>13</xdr:col>
                <xdr:colOff>328613</xdr:colOff>
                <xdr:row>4</xdr:row>
                <xdr:rowOff>171450</xdr:rowOff>
              </to>
            </anchor>
          </objectPr>
        </oleObject>
      </mc:Choice>
      <mc:Fallback>
        <oleObject shapeId="28674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Cover</vt:lpstr>
      <vt:lpstr>BS_ORIG</vt:lpstr>
      <vt:lpstr>IS_ORIG</vt:lpstr>
      <vt:lpstr>BS</vt:lpstr>
      <vt:lpstr>IS</vt:lpstr>
      <vt:lpstr>Sales forecast</vt:lpstr>
      <vt:lpstr>Assumption</vt:lpstr>
      <vt:lpstr>Capex</vt:lpstr>
      <vt:lpstr>FCFF</vt:lpstr>
      <vt:lpstr>Beta</vt:lpstr>
      <vt:lpstr>DCF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EJJ</dc:creator>
  <cp:lastModifiedBy>没睡醒x 鸫鸫</cp:lastModifiedBy>
  <dcterms:created xsi:type="dcterms:W3CDTF">2021-05-07T02:40:35Z</dcterms:created>
  <dcterms:modified xsi:type="dcterms:W3CDTF">2024-11-09T14:49:40Z</dcterms:modified>
</cp:coreProperties>
</file>