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D:\！Y2 Documents\SURF\Task1\"/>
    </mc:Choice>
  </mc:AlternateContent>
  <xr:revisionPtr revIDLastSave="0" documentId="13_ncr:1_{C65F5019-647D-47BF-8EA3-866453BEC223}" xr6:coauthVersionLast="47" xr6:coauthVersionMax="47" xr10:uidLastSave="{00000000-0000-0000-0000-000000000000}"/>
  <bookViews>
    <workbookView xWindow="-98" yWindow="-98" windowWidth="23596" windowHeight="15076" activeTab="6" xr2:uid="{00000000-000D-0000-FFFF-FFFF00000000}"/>
  </bookViews>
  <sheets>
    <sheet name="002528" sheetId="1" r:id="rId1"/>
    <sheet name="002529" sheetId="2" r:id="rId2"/>
    <sheet name="002564" sheetId="3" r:id="rId3"/>
    <sheet name="002584" sheetId="4" r:id="rId4"/>
    <sheet name="002642" sheetId="5" r:id="rId5"/>
    <sheet name="002652" sheetId="6" r:id="rId6"/>
    <sheet name="300013" sheetId="7" r:id="rId7"/>
    <sheet name="300044" sheetId="8" r:id="rId8"/>
    <sheet name="300078" sheetId="9" r:id="rId9"/>
    <sheet name="300091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" i="10" l="1"/>
  <c r="I16" i="10"/>
  <c r="I14" i="10"/>
  <c r="I12" i="10"/>
  <c r="I10" i="10"/>
  <c r="I8" i="10"/>
  <c r="I11" i="9"/>
  <c r="I8" i="9"/>
  <c r="I17" i="8"/>
  <c r="J15" i="8"/>
  <c r="I9" i="8"/>
  <c r="J7" i="6"/>
  <c r="I15" i="4"/>
  <c r="J13" i="4"/>
  <c r="I12" i="4"/>
  <c r="J10" i="4"/>
  <c r="I9" i="4"/>
  <c r="J7" i="4"/>
  <c r="I16" i="3"/>
  <c r="J15" i="3"/>
  <c r="I14" i="3"/>
  <c r="J13" i="3"/>
  <c r="I12" i="3"/>
  <c r="J11" i="3"/>
  <c r="I10" i="3"/>
  <c r="J9" i="3"/>
  <c r="I8" i="3"/>
  <c r="J7" i="3"/>
</calcChain>
</file>

<file path=xl/sharedStrings.xml><?xml version="1.0" encoding="utf-8"?>
<sst xmlns="http://schemas.openxmlformats.org/spreadsheetml/2006/main" count="327" uniqueCount="92">
  <si>
    <t>代码</t>
  </si>
  <si>
    <t>名称</t>
  </si>
  <si>
    <t>公告日期</t>
  </si>
  <si>
    <t>002528.SZ</t>
  </si>
  <si>
    <t>英飞拓</t>
  </si>
  <si>
    <t>无公告</t>
  </si>
  <si>
    <t>一</t>
  </si>
  <si>
    <t>造假方式</t>
  </si>
  <si>
    <t>财务报告披露不准确，部分收入核算与业务基础不匹配，部分应收账款虚构收回</t>
  </si>
  <si>
    <t>造假年份</t>
  </si>
  <si>
    <t>有问题会计科目</t>
  </si>
  <si>
    <t>虚增金额</t>
  </si>
  <si>
    <t>虚增金额占实际收入比重</t>
  </si>
  <si>
    <t>虚增金额占实际利润比重</t>
  </si>
  <si>
    <t>虚减金额</t>
  </si>
  <si>
    <t>虚减金额占实际收入比重</t>
  </si>
  <si>
    <t>虚减金额占实际利润比重</t>
  </si>
  <si>
    <t>实际利润</t>
  </si>
  <si>
    <t>实际收入</t>
  </si>
  <si>
    <t>收入</t>
  </si>
  <si>
    <t>应收账款</t>
  </si>
  <si>
    <t>二</t>
  </si>
  <si>
    <t>2019-2022上半年</t>
  </si>
  <si>
    <t>自愿性信息披露未保持一致性和持续性</t>
  </si>
  <si>
    <t>涉及金额485,000,000.00元</t>
  </si>
  <si>
    <t>调整股权的公允价值导致虚增</t>
  </si>
  <si>
    <t>利润</t>
  </si>
  <si>
    <t>2018-2019</t>
  </si>
  <si>
    <t>海源复材与其关联方非经营性占用资金（不含利息）</t>
  </si>
  <si>
    <t>截至2018年末</t>
  </si>
  <si>
    <t>截至2019年末</t>
  </si>
  <si>
    <t>截至2020年末</t>
  </si>
  <si>
    <t>*截至 2022-10-21上述占用款项本金已全部偿还。</t>
  </si>
  <si>
    <t>三</t>
  </si>
  <si>
    <t>2019和2021</t>
  </si>
  <si>
    <t>未对部分关联交易履行决策程序和信息披露义务</t>
  </si>
  <si>
    <t>合计金额4,275,000.00元（含税）</t>
  </si>
  <si>
    <t>002564.SZ</t>
  </si>
  <si>
    <t>ST天沃</t>
  </si>
  <si>
    <t>调节项目收入和利润，导致披露的定期报告存在虚假记载</t>
  </si>
  <si>
    <t>截至 2020-12-31</t>
  </si>
  <si>
    <t>非经营性资金占用，未按规定及时披露，也未在相应的定期报告中予以披露</t>
  </si>
  <si>
    <t>占用余额为 1,655,311,100.00元</t>
  </si>
  <si>
    <t>实际支付“诚意金”,未按规定及时披露，也未在相关定期报告中披露</t>
  </si>
  <si>
    <t>831,256,800.00元，金额占最近一期经审计净资产绝对值的 33.21%，占当期记载的净资产绝对值的 45.92%</t>
  </si>
  <si>
    <t>四</t>
  </si>
  <si>
    <t>未及时披露募集资金置换先期投入的情况</t>
  </si>
  <si>
    <t>160,000,000.00元</t>
  </si>
  <si>
    <t>五</t>
  </si>
  <si>
    <t>未在 2022 会计年度结束之日起四个月内披露《2022 年年度报告》</t>
  </si>
  <si>
    <t>六</t>
  </si>
  <si>
    <t>未对股权转让协议、持股变动等情况予以披露，相关定期报告中的披露内容涉嫌虚假记载及重大遗漏，后续股权变动系列报告书中的披露内容涉嫌虚假记载</t>
  </si>
  <si>
    <t>002584.SZ</t>
  </si>
  <si>
    <t>西陇科学</t>
  </si>
  <si>
    <t>通过返还贸易利润，协调安排资金到相关客户用于销售回款等方式虚增收入利润。</t>
  </si>
  <si>
    <t>成本</t>
  </si>
  <si>
    <t>内容同上</t>
  </si>
  <si>
    <t>002642.SZ</t>
  </si>
  <si>
    <t>荣联科技</t>
  </si>
  <si>
    <t>部分已确认收入的订单中包含的发出商品未及时结转成本，部分已发出并实际使用的属于库存商品的维修备件未及时结转成本，导致年度报告存在虚假记载</t>
  </si>
  <si>
    <t>002652.SZ</t>
  </si>
  <si>
    <t>扬子新材</t>
  </si>
  <si>
    <t>直接或通过第三方销售回扬子新材，形成交易闭环，虚增营业收入</t>
  </si>
  <si>
    <t>关联方资金占用事项信息披露存在重大遗漏</t>
  </si>
  <si>
    <t>年末占用余额约为 197,647,286.05 元</t>
  </si>
  <si>
    <t>年末占用余额约为 363,311,398.12 元</t>
  </si>
  <si>
    <t>关联采购事项信息披露存在重大遗漏</t>
  </si>
  <si>
    <t>与开元金属发生关联交易约为70,058,336.35 元，约占当年经审计净资产的 21.8%。</t>
  </si>
  <si>
    <t>虚增营业收入，导致2018年年度报告存在虚假记载</t>
  </si>
  <si>
    <t>300044.SZ</t>
  </si>
  <si>
    <t>赛为智能</t>
  </si>
  <si>
    <t>虚构应收账款收回导致 2019 年年报存在虚假记载</t>
  </si>
  <si>
    <t>应收账款收回</t>
  </si>
  <si>
    <t>应收账款坏账准备</t>
  </si>
  <si>
    <t>虚构业务并确认收入、利润，导致 2020 年年报存在虚假记载</t>
  </si>
  <si>
    <t>未及时披露及未在定期报告中披露关联交易</t>
  </si>
  <si>
    <t>占用资金合计 303,548,077.53 元，占公司最近一期经审计净资产的17.45%。</t>
  </si>
  <si>
    <t>300078.SZ</t>
  </si>
  <si>
    <t>思创医惠</t>
  </si>
  <si>
    <t>公开发行文件编造重大虚假内容</t>
  </si>
  <si>
    <t>300091.SZ</t>
  </si>
  <si>
    <t>金通灵</t>
  </si>
  <si>
    <t>通过伪造工程形象进度确认表、发货单等调节EPC总承包项目完工进度（履约进度），未发货提前确认收入、对销售退回不冲减收入等方式，虚增营业收入和利润总额。</t>
  </si>
  <si>
    <t>英飞拓</t>
    <phoneticPr fontId="8" type="noConversion"/>
  </si>
  <si>
    <t>002528.SZ</t>
    <phoneticPr fontId="8" type="noConversion"/>
  </si>
  <si>
    <t>海源复材</t>
    <phoneticPr fontId="8" type="noConversion"/>
  </si>
  <si>
    <t>002529.SZ</t>
    <phoneticPr fontId="8" type="noConversion"/>
  </si>
  <si>
    <t>造假方式</t>
    <phoneticPr fontId="8" type="noConversion"/>
  </si>
  <si>
    <t>扬子新材</t>
    <phoneticPr fontId="9" type="noConversion"/>
  </si>
  <si>
    <t>002652.SZ</t>
    <phoneticPr fontId="9" type="noConversion"/>
  </si>
  <si>
    <t>新宁物流</t>
    <phoneticPr fontId="9" type="noConversion"/>
  </si>
  <si>
    <t>300013.SZ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</si>
</sst>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yyyy\-mm\-dd"/>
    <numFmt numFmtId="179" formatCode="#,##0.00_ "/>
  </numFmts>
  <fonts count="13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ajor"/>
    </font>
    <font>
      <sz val="11"/>
      <name val="宋体"/>
      <charset val="134"/>
      <scheme val="major"/>
    </font>
    <font>
      <sz val="11"/>
      <color rgb="FF000000"/>
      <name val="宋体"/>
      <charset val="134"/>
      <scheme val="major"/>
    </font>
    <font>
      <sz val="12"/>
      <color rgb="FF000000"/>
      <name val="瀹嬩綋"/>
      <charset val="134"/>
    </font>
    <font>
      <sz val="11"/>
      <color rgb="FF00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ajor"/>
    </font>
    <font>
      <sz val="11"/>
      <name val="宋体"/>
      <family val="3"/>
      <charset val="134"/>
      <scheme val="major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2" xfId="0" applyFont="1" applyBorder="1" applyAlignment="1">
      <alignment horizontal="left"/>
    </xf>
    <xf numFmtId="178" fontId="1" fillId="0" borderId="2" xfId="0" applyNumberFormat="1" applyFont="1" applyBorder="1" applyAlignment="1">
      <alignment horizontal="left"/>
    </xf>
    <xf numFmtId="4" fontId="0" fillId="0" borderId="0" xfId="0" applyNumberFormat="1">
      <alignment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2" xfId="0" applyFont="1" applyBorder="1" applyAlignment="1">
      <alignment horizontal="left"/>
    </xf>
    <xf numFmtId="178" fontId="3" fillId="0" borderId="2" xfId="0" applyNumberFormat="1" applyFont="1" applyBorder="1" applyAlignment="1">
      <alignment horizontal="left"/>
    </xf>
    <xf numFmtId="4" fontId="2" fillId="0" borderId="0" xfId="0" applyNumberFormat="1" applyFont="1">
      <alignment vertical="center"/>
    </xf>
    <xf numFmtId="9" fontId="2" fillId="0" borderId="0" xfId="0" applyNumberFormat="1" applyFont="1">
      <alignment vertical="center"/>
    </xf>
    <xf numFmtId="0" fontId="4" fillId="0" borderId="0" xfId="0" applyFont="1">
      <alignment vertical="center"/>
    </xf>
    <xf numFmtId="179" fontId="0" fillId="0" borderId="0" xfId="0" applyNumberFormat="1">
      <alignment vertical="center"/>
    </xf>
    <xf numFmtId="0" fontId="5" fillId="0" borderId="0" xfId="0" applyFont="1">
      <alignment vertical="center"/>
    </xf>
    <xf numFmtId="178" fontId="6" fillId="0" borderId="3" xfId="0" applyNumberFormat="1" applyFont="1" applyBorder="1" applyAlignment="1">
      <alignment horizontal="left"/>
    </xf>
    <xf numFmtId="0" fontId="7" fillId="0" borderId="1" xfId="0" applyFont="1" applyBorder="1">
      <alignment vertical="center"/>
    </xf>
    <xf numFmtId="0" fontId="7" fillId="0" borderId="0" xfId="0" applyFont="1">
      <alignment vertical="center"/>
    </xf>
    <xf numFmtId="0" fontId="10" fillId="0" borderId="1" xfId="0" applyFont="1" applyBorder="1">
      <alignment vertical="center"/>
    </xf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workbookViewId="0">
      <selection activeCell="B2" sqref="B2"/>
    </sheetView>
  </sheetViews>
  <sheetFormatPr defaultColWidth="9" defaultRowHeight="13.5"/>
  <cols>
    <col min="1" max="1" width="15.46484375" customWidth="1"/>
    <col min="2" max="2" width="14" customWidth="1"/>
    <col min="4" max="4" width="21.9296875" customWidth="1"/>
    <col min="5" max="5" width="22" customWidth="1"/>
    <col min="7" max="8" width="21.86328125" customWidth="1"/>
  </cols>
  <sheetData>
    <row r="1" spans="1:10">
      <c r="A1" s="1"/>
      <c r="B1" s="1" t="s">
        <v>0</v>
      </c>
      <c r="C1" s="1" t="s">
        <v>1</v>
      </c>
      <c r="D1" s="1" t="s">
        <v>2</v>
      </c>
    </row>
    <row r="2" spans="1:10">
      <c r="A2" s="1"/>
      <c r="B2" s="18" t="s">
        <v>84</v>
      </c>
      <c r="C2" s="18" t="s">
        <v>83</v>
      </c>
      <c r="D2" s="17">
        <v>45287</v>
      </c>
      <c r="E2" t="s">
        <v>5</v>
      </c>
    </row>
    <row r="5" spans="1:10">
      <c r="A5" s="1"/>
      <c r="B5" s="1" t="s">
        <v>0</v>
      </c>
      <c r="C5" s="1" t="s">
        <v>1</v>
      </c>
      <c r="D5" s="1" t="s">
        <v>2</v>
      </c>
    </row>
    <row r="6" spans="1:10">
      <c r="A6" s="1"/>
      <c r="B6" s="1" t="s">
        <v>3</v>
      </c>
      <c r="C6" s="1" t="s">
        <v>4</v>
      </c>
      <c r="D6" s="17">
        <v>45288</v>
      </c>
    </row>
    <row r="7" spans="1:10">
      <c r="A7" t="s">
        <v>6</v>
      </c>
    </row>
    <row r="8" spans="1:10">
      <c r="B8" t="s">
        <v>7</v>
      </c>
    </row>
    <row r="9" spans="1:10">
      <c r="B9" t="s">
        <v>8</v>
      </c>
    </row>
    <row r="10" spans="1:10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  <c r="I10" t="s">
        <v>17</v>
      </c>
      <c r="J10" t="s">
        <v>18</v>
      </c>
    </row>
    <row r="11" spans="1:10">
      <c r="A11">
        <v>2019</v>
      </c>
      <c r="B11" t="s">
        <v>19</v>
      </c>
    </row>
    <row r="12" spans="1:10">
      <c r="A12">
        <v>2020</v>
      </c>
      <c r="B12" t="s">
        <v>20</v>
      </c>
    </row>
    <row r="14" spans="1:10">
      <c r="A14" t="s">
        <v>21</v>
      </c>
    </row>
    <row r="15" spans="1:10">
      <c r="A15" t="s">
        <v>22</v>
      </c>
      <c r="B15" t="s">
        <v>23</v>
      </c>
      <c r="E15" t="s">
        <v>24</v>
      </c>
    </row>
  </sheetData>
  <phoneticPr fontId="8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"/>
  <sheetViews>
    <sheetView workbookViewId="0">
      <selection activeCell="D8" sqref="D8"/>
    </sheetView>
  </sheetViews>
  <sheetFormatPr defaultColWidth="9" defaultRowHeight="13.5"/>
  <cols>
    <col min="1" max="1" width="12.796875" customWidth="1"/>
    <col min="2" max="2" width="15.86328125" customWidth="1"/>
    <col min="3" max="3" width="15.06640625"/>
    <col min="4" max="4" width="21.9296875" customWidth="1"/>
    <col min="5" max="5" width="22" customWidth="1"/>
    <col min="7" max="8" width="21.86328125" customWidth="1"/>
  </cols>
  <sheetData>
    <row r="1" spans="1:10">
      <c r="A1" s="1"/>
      <c r="B1" s="1" t="s">
        <v>0</v>
      </c>
      <c r="C1" s="1" t="s">
        <v>1</v>
      </c>
      <c r="D1" s="1" t="s">
        <v>2</v>
      </c>
    </row>
    <row r="2" spans="1:10">
      <c r="A2" s="1"/>
      <c r="B2" s="2" t="s">
        <v>86</v>
      </c>
      <c r="C2" s="18" t="s">
        <v>85</v>
      </c>
      <c r="D2" s="3">
        <v>44996</v>
      </c>
    </row>
    <row r="3" spans="1:10">
      <c r="A3" t="s">
        <v>6</v>
      </c>
    </row>
    <row r="4" spans="1:10">
      <c r="B4" s="19" t="s">
        <v>87</v>
      </c>
    </row>
    <row r="5" spans="1:10">
      <c r="B5" t="s">
        <v>25</v>
      </c>
    </row>
    <row r="6" spans="1:10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</row>
    <row r="7" spans="1:10">
      <c r="A7">
        <v>2021</v>
      </c>
      <c r="B7" t="s">
        <v>26</v>
      </c>
      <c r="C7" s="4">
        <v>4116600</v>
      </c>
    </row>
    <row r="9" spans="1:10">
      <c r="A9" t="s">
        <v>21</v>
      </c>
    </row>
    <row r="10" spans="1:10">
      <c r="A10" t="s">
        <v>27</v>
      </c>
      <c r="B10" t="s">
        <v>28</v>
      </c>
    </row>
    <row r="11" spans="1:10">
      <c r="A11" t="s">
        <v>29</v>
      </c>
      <c r="B11" s="4">
        <v>43480000</v>
      </c>
    </row>
    <row r="12" spans="1:10">
      <c r="A12" t="s">
        <v>30</v>
      </c>
      <c r="B12" s="4">
        <v>170439300</v>
      </c>
    </row>
    <row r="13" spans="1:10">
      <c r="A13" t="s">
        <v>31</v>
      </c>
      <c r="B13" s="4">
        <v>12970000</v>
      </c>
    </row>
    <row r="14" spans="1:10">
      <c r="A14" t="s">
        <v>32</v>
      </c>
    </row>
    <row r="16" spans="1:10">
      <c r="A16" t="s">
        <v>33</v>
      </c>
    </row>
    <row r="17" spans="1:5" ht="15.75">
      <c r="A17" t="s">
        <v>34</v>
      </c>
      <c r="B17" s="16" t="s">
        <v>35</v>
      </c>
      <c r="E17" s="15" t="s">
        <v>36</v>
      </c>
    </row>
  </sheetData>
  <phoneticPr fontId="8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workbookViewId="0">
      <selection activeCell="J15" sqref="J15"/>
    </sheetView>
  </sheetViews>
  <sheetFormatPr defaultColWidth="9" defaultRowHeight="13.5"/>
  <cols>
    <col min="1" max="1" width="16" customWidth="1"/>
    <col min="2" max="2" width="14" customWidth="1"/>
    <col min="3" max="3" width="19.19921875" customWidth="1"/>
    <col min="4" max="4" width="21.9296875" customWidth="1"/>
    <col min="5" max="5" width="22" customWidth="1"/>
    <col min="6" max="6" width="18.3984375" customWidth="1"/>
    <col min="7" max="8" width="21.86328125" customWidth="1"/>
    <col min="9" max="9" width="17.46484375" customWidth="1"/>
    <col min="10" max="10" width="18.53125" customWidth="1"/>
  </cols>
  <sheetData>
    <row r="1" spans="1:10">
      <c r="A1" s="1"/>
      <c r="B1" s="1" t="s">
        <v>0</v>
      </c>
      <c r="C1" s="1" t="s">
        <v>1</v>
      </c>
      <c r="D1" s="1" t="s">
        <v>2</v>
      </c>
    </row>
    <row r="2" spans="1:10">
      <c r="A2" s="1"/>
      <c r="B2" s="2" t="s">
        <v>37</v>
      </c>
      <c r="C2" s="1" t="s">
        <v>38</v>
      </c>
      <c r="D2" s="3">
        <v>45226</v>
      </c>
    </row>
    <row r="3" spans="1:10">
      <c r="A3" t="s">
        <v>6</v>
      </c>
    </row>
    <row r="4" spans="1:10">
      <c r="B4" t="s">
        <v>7</v>
      </c>
    </row>
    <row r="5" spans="1:10">
      <c r="B5" t="s">
        <v>39</v>
      </c>
    </row>
    <row r="6" spans="1:10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</row>
    <row r="7" spans="1:10">
      <c r="A7">
        <v>2017</v>
      </c>
      <c r="B7" t="s">
        <v>19</v>
      </c>
      <c r="C7" s="4">
        <v>907000000</v>
      </c>
      <c r="D7" s="5">
        <v>8.72E-2</v>
      </c>
      <c r="J7" s="4">
        <f>C7/D7</f>
        <v>10401376146.789</v>
      </c>
    </row>
    <row r="8" spans="1:10">
      <c r="B8" t="s">
        <v>26</v>
      </c>
      <c r="F8" s="4">
        <v>80000000</v>
      </c>
      <c r="H8" s="5">
        <v>0.29909999999999998</v>
      </c>
      <c r="I8" s="4">
        <f>F8/H8</f>
        <v>267469073.88833201</v>
      </c>
    </row>
    <row r="9" spans="1:10">
      <c r="A9">
        <v>2018</v>
      </c>
      <c r="B9" t="s">
        <v>19</v>
      </c>
      <c r="C9" s="4">
        <v>1971000000</v>
      </c>
      <c r="D9" s="5">
        <v>0.25590000000000002</v>
      </c>
      <c r="J9" s="4">
        <f>C9/D9</f>
        <v>7702227432.5908604</v>
      </c>
    </row>
    <row r="10" spans="1:10">
      <c r="B10" t="s">
        <v>26</v>
      </c>
      <c r="C10" s="4">
        <v>327000000</v>
      </c>
      <c r="E10" s="5">
        <v>1.6252</v>
      </c>
      <c r="I10" s="4">
        <f>C10/E10</f>
        <v>201206005.414718</v>
      </c>
    </row>
    <row r="11" spans="1:10">
      <c r="A11">
        <v>2019</v>
      </c>
      <c r="B11" t="s">
        <v>19</v>
      </c>
      <c r="C11" s="4">
        <v>2390000000</v>
      </c>
      <c r="D11" s="5">
        <v>0.22170000000000001</v>
      </c>
      <c r="J11" s="4">
        <f>C11/D11</f>
        <v>10780333784.393299</v>
      </c>
    </row>
    <row r="12" spans="1:10">
      <c r="B12" t="s">
        <v>26</v>
      </c>
      <c r="C12" s="4">
        <v>353000000</v>
      </c>
      <c r="E12" s="5">
        <v>1.9987999999999999</v>
      </c>
      <c r="I12" s="4">
        <f>C12/E12</f>
        <v>176605963.57814699</v>
      </c>
    </row>
    <row r="13" spans="1:10">
      <c r="A13">
        <v>2020</v>
      </c>
      <c r="B13" t="s">
        <v>19</v>
      </c>
      <c r="F13" s="4">
        <v>1377000000</v>
      </c>
      <c r="G13" s="5">
        <v>0.17849999999999999</v>
      </c>
      <c r="J13" s="4">
        <f>F13/G13</f>
        <v>7714285714.2857103</v>
      </c>
    </row>
    <row r="14" spans="1:10">
      <c r="B14" t="s">
        <v>26</v>
      </c>
      <c r="F14" s="4">
        <v>260000000</v>
      </c>
      <c r="H14" s="5">
        <v>0.1555</v>
      </c>
      <c r="I14" s="4">
        <f>F14/H14</f>
        <v>1672025723.4726701</v>
      </c>
      <c r="J14" s="15"/>
    </row>
    <row r="15" spans="1:10">
      <c r="A15">
        <v>2021</v>
      </c>
      <c r="B15" t="s">
        <v>19</v>
      </c>
      <c r="F15" s="4">
        <v>882000000</v>
      </c>
      <c r="G15" s="5">
        <v>0.1295</v>
      </c>
      <c r="J15" s="4">
        <f>F15/G15</f>
        <v>6810810810.8108101</v>
      </c>
    </row>
    <row r="16" spans="1:10">
      <c r="B16" t="s">
        <v>26</v>
      </c>
      <c r="F16" s="4">
        <v>108000000</v>
      </c>
      <c r="H16" s="5">
        <v>0.12609999999999999</v>
      </c>
      <c r="I16" s="4">
        <f>F16/H16</f>
        <v>856463124.50436199</v>
      </c>
    </row>
    <row r="18" spans="1:6">
      <c r="A18" t="s">
        <v>21</v>
      </c>
    </row>
    <row r="19" spans="1:6">
      <c r="A19" t="s">
        <v>40</v>
      </c>
      <c r="B19" t="s">
        <v>41</v>
      </c>
      <c r="F19" t="s">
        <v>42</v>
      </c>
    </row>
    <row r="21" spans="1:6">
      <c r="A21" t="s">
        <v>33</v>
      </c>
    </row>
    <row r="22" spans="1:6">
      <c r="A22">
        <v>2021</v>
      </c>
      <c r="B22" t="s">
        <v>43</v>
      </c>
      <c r="F22" t="s">
        <v>44</v>
      </c>
    </row>
    <row r="24" spans="1:6">
      <c r="A24" t="s">
        <v>45</v>
      </c>
    </row>
    <row r="25" spans="1:6">
      <c r="A25">
        <v>2019</v>
      </c>
      <c r="B25" t="s">
        <v>46</v>
      </c>
      <c r="F25" t="s">
        <v>47</v>
      </c>
    </row>
    <row r="27" spans="1:6">
      <c r="A27" t="s">
        <v>48</v>
      </c>
    </row>
    <row r="28" spans="1:6">
      <c r="A28">
        <v>2023</v>
      </c>
      <c r="B28" t="s">
        <v>49</v>
      </c>
    </row>
    <row r="30" spans="1:6">
      <c r="A30" t="s">
        <v>50</v>
      </c>
    </row>
    <row r="31" spans="1:6">
      <c r="A31">
        <v>2018</v>
      </c>
      <c r="B31" t="s">
        <v>51</v>
      </c>
    </row>
  </sheetData>
  <phoneticPr fontId="9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3"/>
  <sheetViews>
    <sheetView workbookViewId="0">
      <selection activeCell="H21" sqref="H21"/>
    </sheetView>
  </sheetViews>
  <sheetFormatPr defaultColWidth="9" defaultRowHeight="13.5"/>
  <cols>
    <col min="2" max="2" width="14" customWidth="1"/>
    <col min="3" max="3" width="17.9296875" customWidth="1"/>
    <col min="4" max="4" width="21.9296875" customWidth="1"/>
    <col min="5" max="5" width="22" customWidth="1"/>
    <col min="7" max="8" width="21.86328125" customWidth="1"/>
    <col min="9" max="9" width="15.46484375" customWidth="1"/>
    <col min="10" max="10" width="17.796875" customWidth="1"/>
  </cols>
  <sheetData>
    <row r="1" spans="1:10">
      <c r="A1" s="1"/>
      <c r="B1" s="1" t="s">
        <v>0</v>
      </c>
      <c r="C1" s="1" t="s">
        <v>1</v>
      </c>
      <c r="D1" s="1" t="s">
        <v>2</v>
      </c>
    </row>
    <row r="2" spans="1:10">
      <c r="A2" s="1"/>
      <c r="B2" s="2" t="s">
        <v>52</v>
      </c>
      <c r="C2" s="1" t="s">
        <v>53</v>
      </c>
      <c r="D2" s="3">
        <v>45110</v>
      </c>
    </row>
    <row r="3" spans="1:10">
      <c r="A3" t="s">
        <v>6</v>
      </c>
    </row>
    <row r="4" spans="1:10">
      <c r="B4" t="s">
        <v>7</v>
      </c>
    </row>
    <row r="5" spans="1:10">
      <c r="B5" t="s">
        <v>54</v>
      </c>
    </row>
    <row r="6" spans="1:10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</row>
    <row r="7" spans="1:10">
      <c r="A7">
        <v>2020</v>
      </c>
      <c r="B7" t="s">
        <v>19</v>
      </c>
      <c r="C7" s="4">
        <v>597647922.97000003</v>
      </c>
      <c r="D7" s="5">
        <v>9.5699999999999993E-2</v>
      </c>
      <c r="J7" s="4">
        <f>C7/D7</f>
        <v>6245014869.0700102</v>
      </c>
    </row>
    <row r="8" spans="1:10">
      <c r="B8" t="s">
        <v>55</v>
      </c>
      <c r="C8" s="4">
        <v>595989246.87</v>
      </c>
    </row>
    <row r="9" spans="1:10">
      <c r="B9" t="s">
        <v>26</v>
      </c>
      <c r="C9" s="4">
        <v>1658676.1</v>
      </c>
      <c r="E9" s="5">
        <v>2.0400000000000001E-2</v>
      </c>
      <c r="I9" s="4">
        <f>C9/E9</f>
        <v>81307651.960784301</v>
      </c>
      <c r="J9" s="15"/>
    </row>
    <row r="10" spans="1:10">
      <c r="A10">
        <v>2021</v>
      </c>
      <c r="B10" t="s">
        <v>19</v>
      </c>
      <c r="C10" s="4">
        <v>1457764040.4000001</v>
      </c>
      <c r="D10" s="5">
        <v>0.2132</v>
      </c>
      <c r="I10" s="15"/>
      <c r="J10" s="4">
        <f>C10/D10</f>
        <v>6837542403.3771095</v>
      </c>
    </row>
    <row r="11" spans="1:10">
      <c r="B11" t="s">
        <v>55</v>
      </c>
      <c r="C11" s="4">
        <v>1444283514.95</v>
      </c>
      <c r="I11" s="15"/>
      <c r="J11" s="15"/>
    </row>
    <row r="12" spans="1:10">
      <c r="B12" t="s">
        <v>26</v>
      </c>
      <c r="C12" s="4">
        <v>13480525.460000001</v>
      </c>
      <c r="E12" s="5">
        <v>5.9299999999999999E-2</v>
      </c>
      <c r="I12" s="4">
        <f>C12/E12</f>
        <v>227327579.426644</v>
      </c>
      <c r="J12" s="15"/>
    </row>
    <row r="13" spans="1:10">
      <c r="A13">
        <v>2022</v>
      </c>
      <c r="B13" t="s">
        <v>19</v>
      </c>
      <c r="C13" s="4">
        <v>785354194.46000004</v>
      </c>
      <c r="D13" s="5">
        <v>0.22939999999999999</v>
      </c>
      <c r="I13" s="15"/>
      <c r="J13" s="4">
        <f>C13/D13</f>
        <v>3423514361.2031398</v>
      </c>
    </row>
    <row r="14" spans="1:10">
      <c r="B14" t="s">
        <v>55</v>
      </c>
      <c r="C14" s="4">
        <v>777229329.99000001</v>
      </c>
      <c r="I14" s="15"/>
      <c r="J14" s="15"/>
    </row>
    <row r="15" spans="1:10">
      <c r="B15" t="s">
        <v>26</v>
      </c>
      <c r="C15" s="4">
        <v>8124864.4699999997</v>
      </c>
      <c r="E15" s="5">
        <v>8.9800000000000005E-2</v>
      </c>
      <c r="I15" s="4">
        <f>C15/E15</f>
        <v>90477332.628062397</v>
      </c>
      <c r="J15" s="15"/>
    </row>
    <row r="18" spans="1:5">
      <c r="A18" s="1"/>
      <c r="B18" s="1" t="s">
        <v>0</v>
      </c>
      <c r="C18" s="1" t="s">
        <v>1</v>
      </c>
      <c r="D18" s="1" t="s">
        <v>2</v>
      </c>
    </row>
    <row r="19" spans="1:5">
      <c r="A19" s="1"/>
      <c r="B19" s="2" t="s">
        <v>52</v>
      </c>
      <c r="C19" s="1" t="s">
        <v>53</v>
      </c>
      <c r="D19" s="3">
        <v>45115</v>
      </c>
      <c r="E19" t="s">
        <v>56</v>
      </c>
    </row>
    <row r="22" spans="1:5">
      <c r="A22" s="1"/>
      <c r="B22" s="1" t="s">
        <v>0</v>
      </c>
      <c r="C22" s="1" t="s">
        <v>1</v>
      </c>
      <c r="D22" s="1" t="s">
        <v>2</v>
      </c>
    </row>
    <row r="23" spans="1:5">
      <c r="A23" s="1"/>
      <c r="B23" s="2" t="s">
        <v>52</v>
      </c>
      <c r="C23" s="1" t="s">
        <v>53</v>
      </c>
      <c r="D23" s="3">
        <v>45232</v>
      </c>
      <c r="E23" t="s">
        <v>5</v>
      </c>
    </row>
  </sheetData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6"/>
  <sheetViews>
    <sheetView workbookViewId="0">
      <selection activeCell="E23" sqref="E23"/>
    </sheetView>
  </sheetViews>
  <sheetFormatPr defaultColWidth="9" defaultRowHeight="13.5"/>
  <cols>
    <col min="2" max="2" width="14" customWidth="1"/>
    <col min="3" max="3" width="15.06640625" customWidth="1"/>
    <col min="4" max="4" width="21.9296875" customWidth="1"/>
    <col min="5" max="5" width="22" customWidth="1"/>
    <col min="6" max="6" width="16.19921875"/>
    <col min="7" max="8" width="21.86328125" customWidth="1"/>
  </cols>
  <sheetData>
    <row r="1" spans="1:10">
      <c r="A1" s="1"/>
      <c r="B1" s="1" t="s">
        <v>0</v>
      </c>
      <c r="C1" s="1" t="s">
        <v>1</v>
      </c>
      <c r="D1" s="1" t="s">
        <v>2</v>
      </c>
    </row>
    <row r="2" spans="1:10">
      <c r="A2" s="1"/>
      <c r="B2" s="2" t="s">
        <v>57</v>
      </c>
      <c r="C2" s="1" t="s">
        <v>58</v>
      </c>
      <c r="D2" s="3">
        <v>45266</v>
      </c>
    </row>
    <row r="3" spans="1:10">
      <c r="A3" t="s">
        <v>6</v>
      </c>
    </row>
    <row r="4" spans="1:10">
      <c r="B4" t="s">
        <v>7</v>
      </c>
    </row>
    <row r="5" spans="1:10">
      <c r="B5" t="s">
        <v>59</v>
      </c>
    </row>
    <row r="6" spans="1:10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</row>
    <row r="7" spans="1:10">
      <c r="A7">
        <v>2016</v>
      </c>
      <c r="B7" t="s">
        <v>55</v>
      </c>
      <c r="F7" s="15">
        <v>46263500</v>
      </c>
    </row>
    <row r="8" spans="1:10">
      <c r="B8" t="s">
        <v>26</v>
      </c>
      <c r="C8" s="15">
        <v>46263500</v>
      </c>
      <c r="D8" s="15"/>
      <c r="E8" s="15"/>
      <c r="F8" s="15"/>
    </row>
    <row r="9" spans="1:10">
      <c r="A9">
        <v>2017</v>
      </c>
      <c r="B9" t="s">
        <v>55</v>
      </c>
      <c r="C9" s="15"/>
      <c r="D9" s="15"/>
      <c r="E9" s="15"/>
      <c r="F9" s="15">
        <v>56883800</v>
      </c>
    </row>
    <row r="10" spans="1:10">
      <c r="B10" t="s">
        <v>26</v>
      </c>
      <c r="C10" s="15">
        <v>56883800</v>
      </c>
      <c r="D10" s="15"/>
      <c r="E10" s="15"/>
      <c r="F10" s="15"/>
    </row>
    <row r="11" spans="1:10">
      <c r="A11">
        <v>2018</v>
      </c>
      <c r="B11" t="s">
        <v>55</v>
      </c>
      <c r="C11" s="15"/>
      <c r="D11" s="15"/>
      <c r="E11" s="15"/>
      <c r="F11" s="15">
        <v>97250500</v>
      </c>
    </row>
    <row r="12" spans="1:10">
      <c r="B12" t="s">
        <v>26</v>
      </c>
      <c r="C12" s="15">
        <v>97250500</v>
      </c>
      <c r="D12" s="15"/>
      <c r="E12" s="15"/>
      <c r="F12" s="15"/>
    </row>
    <row r="15" spans="1:10">
      <c r="A15" s="1"/>
      <c r="B15" s="1" t="s">
        <v>0</v>
      </c>
      <c r="C15" s="1" t="s">
        <v>1</v>
      </c>
      <c r="D15" s="1" t="s">
        <v>2</v>
      </c>
    </row>
    <row r="16" spans="1:10">
      <c r="A16" s="1"/>
      <c r="B16" s="2" t="s">
        <v>57</v>
      </c>
      <c r="C16" s="1" t="s">
        <v>58</v>
      </c>
      <c r="D16" s="3">
        <v>45289</v>
      </c>
      <c r="E16" t="s">
        <v>56</v>
      </c>
    </row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0"/>
  <sheetViews>
    <sheetView workbookViewId="0">
      <selection activeCell="B2" sqref="B2"/>
    </sheetView>
  </sheetViews>
  <sheetFormatPr defaultColWidth="9" defaultRowHeight="13.5"/>
  <cols>
    <col min="2" max="2" width="14" customWidth="1"/>
    <col min="3" max="3" width="16.19921875"/>
    <col min="4" max="4" width="21.9296875" customWidth="1"/>
    <col min="5" max="5" width="22" customWidth="1"/>
    <col min="7" max="8" width="21.86328125" customWidth="1"/>
    <col min="10" max="10" width="19.53125"/>
  </cols>
  <sheetData>
    <row r="1" spans="1:10">
      <c r="A1" s="8"/>
      <c r="B1" s="8" t="s">
        <v>0</v>
      </c>
      <c r="C1" s="8" t="s">
        <v>1</v>
      </c>
      <c r="D1" s="8" t="s">
        <v>2</v>
      </c>
      <c r="E1" s="9"/>
      <c r="F1" s="9"/>
      <c r="G1" s="9"/>
      <c r="H1" s="9"/>
      <c r="I1" s="9"/>
      <c r="J1" s="9"/>
    </row>
    <row r="2" spans="1:10">
      <c r="A2" s="8"/>
      <c r="B2" s="21" t="s">
        <v>89</v>
      </c>
      <c r="C2" s="20" t="s">
        <v>88</v>
      </c>
      <c r="D2" s="11">
        <v>45139</v>
      </c>
      <c r="E2" s="9"/>
      <c r="F2" s="9"/>
      <c r="G2" s="9"/>
      <c r="H2" s="9"/>
      <c r="I2" s="9"/>
      <c r="J2" s="9"/>
    </row>
    <row r="3" spans="1:10">
      <c r="A3" s="9" t="s">
        <v>6</v>
      </c>
      <c r="B3" s="9"/>
      <c r="C3" s="9"/>
      <c r="D3" s="9"/>
      <c r="E3" s="9"/>
      <c r="F3" s="9"/>
      <c r="G3" s="9"/>
      <c r="H3" s="9"/>
      <c r="I3" s="9"/>
      <c r="J3" s="9"/>
    </row>
    <row r="4" spans="1:10">
      <c r="A4" s="9"/>
      <c r="B4" s="9" t="s">
        <v>7</v>
      </c>
      <c r="C4" s="9"/>
      <c r="D4" s="9"/>
      <c r="E4" s="9"/>
      <c r="F4" s="9"/>
      <c r="G4" s="9"/>
      <c r="H4" s="9"/>
      <c r="I4" s="9"/>
      <c r="J4" s="9"/>
    </row>
    <row r="5" spans="1:10">
      <c r="A5" s="9"/>
      <c r="B5" s="9" t="s">
        <v>62</v>
      </c>
      <c r="C5" s="9"/>
      <c r="D5" s="9"/>
      <c r="E5" s="9"/>
      <c r="F5" s="9"/>
      <c r="G5" s="9"/>
      <c r="H5" s="9"/>
      <c r="I5" s="9"/>
      <c r="J5" s="9"/>
    </row>
    <row r="6" spans="1:10">
      <c r="A6" s="9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H6" s="9" t="s">
        <v>16</v>
      </c>
      <c r="I6" s="9" t="s">
        <v>17</v>
      </c>
      <c r="J6" s="9" t="s">
        <v>18</v>
      </c>
    </row>
    <row r="7" spans="1:10">
      <c r="A7" s="9">
        <v>2020</v>
      </c>
      <c r="B7" s="9" t="s">
        <v>19</v>
      </c>
      <c r="C7" s="12">
        <v>137102101.66999999</v>
      </c>
      <c r="D7" s="13">
        <v>0.11</v>
      </c>
      <c r="E7" s="9"/>
      <c r="F7" s="9"/>
      <c r="G7" s="9"/>
      <c r="H7" s="9"/>
      <c r="I7" s="9"/>
      <c r="J7" s="12">
        <f>C7/D7</f>
        <v>1246382742.45455</v>
      </c>
    </row>
    <row r="8" spans="1:10">
      <c r="A8" s="9"/>
      <c r="B8" s="9"/>
      <c r="C8" s="9"/>
      <c r="D8" s="9"/>
      <c r="E8" s="9"/>
      <c r="F8" s="9"/>
      <c r="G8" s="9"/>
      <c r="H8" s="9"/>
      <c r="I8" s="9"/>
      <c r="J8" s="9"/>
    </row>
    <row r="9" spans="1:10">
      <c r="A9" s="9" t="s">
        <v>21</v>
      </c>
      <c r="B9" s="14" t="s">
        <v>63</v>
      </c>
      <c r="C9" s="9"/>
      <c r="D9" s="9"/>
      <c r="E9" s="9"/>
      <c r="F9" s="9"/>
      <c r="G9" s="9"/>
      <c r="H9" s="9"/>
      <c r="I9" s="9"/>
      <c r="J9" s="9"/>
    </row>
    <row r="10" spans="1:10">
      <c r="A10" s="9">
        <v>2018</v>
      </c>
      <c r="B10" s="14" t="s">
        <v>64</v>
      </c>
      <c r="C10" s="9"/>
      <c r="D10" s="9"/>
      <c r="E10" s="9"/>
      <c r="F10" s="9"/>
      <c r="G10" s="9"/>
      <c r="H10" s="9"/>
      <c r="I10" s="9"/>
      <c r="J10" s="9"/>
    </row>
    <row r="11" spans="1:10">
      <c r="A11" s="9">
        <v>2019</v>
      </c>
      <c r="B11" s="14" t="s">
        <v>65</v>
      </c>
      <c r="C11" s="9"/>
      <c r="D11" s="9"/>
      <c r="E11" s="9"/>
      <c r="F11" s="9"/>
      <c r="G11" s="9"/>
      <c r="H11" s="9"/>
      <c r="I11" s="9"/>
      <c r="J11" s="9"/>
    </row>
    <row r="12" spans="1:10">
      <c r="A12" s="9"/>
      <c r="B12" s="9"/>
      <c r="C12" s="9"/>
      <c r="D12" s="9"/>
      <c r="E12" s="9"/>
      <c r="F12" s="9"/>
      <c r="G12" s="9"/>
      <c r="H12" s="9"/>
      <c r="I12" s="9"/>
      <c r="J12" s="9"/>
    </row>
    <row r="13" spans="1:10">
      <c r="A13" s="9" t="s">
        <v>33</v>
      </c>
      <c r="B13" s="14" t="s">
        <v>66</v>
      </c>
      <c r="C13" s="9"/>
      <c r="D13" s="9"/>
      <c r="E13" s="9"/>
      <c r="F13" s="9"/>
      <c r="G13" s="9"/>
      <c r="H13" s="9"/>
      <c r="I13" s="9"/>
      <c r="J13" s="9"/>
    </row>
    <row r="14" spans="1:10">
      <c r="A14" s="9">
        <v>2020</v>
      </c>
      <c r="B14" s="9" t="s">
        <v>67</v>
      </c>
      <c r="C14" s="9"/>
      <c r="D14" s="9"/>
      <c r="E14" s="9"/>
      <c r="F14" s="9"/>
      <c r="G14" s="9"/>
      <c r="H14" s="9"/>
      <c r="I14" s="9"/>
      <c r="J14" s="9"/>
    </row>
    <row r="15" spans="1:10">
      <c r="A15" s="9"/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9"/>
      <c r="B16" s="9"/>
      <c r="C16" s="9"/>
      <c r="D16" s="9"/>
      <c r="E16" s="9"/>
      <c r="F16" s="9"/>
      <c r="G16" s="9"/>
      <c r="H16" s="9"/>
      <c r="I16" s="9"/>
      <c r="J16" s="9"/>
    </row>
    <row r="17" spans="1:10">
      <c r="A17" s="8"/>
      <c r="B17" s="8" t="s">
        <v>0</v>
      </c>
      <c r="C17" s="8" t="s">
        <v>1</v>
      </c>
      <c r="D17" s="8" t="s">
        <v>2</v>
      </c>
      <c r="E17" s="9"/>
      <c r="F17" s="9"/>
      <c r="G17" s="9"/>
      <c r="H17" s="9"/>
      <c r="I17" s="9"/>
      <c r="J17" s="9"/>
    </row>
    <row r="18" spans="1:10">
      <c r="A18" s="8"/>
      <c r="B18" s="10" t="s">
        <v>60</v>
      </c>
      <c r="C18" s="8" t="s">
        <v>61</v>
      </c>
      <c r="D18" s="11">
        <v>45239</v>
      </c>
      <c r="E18" s="9" t="s">
        <v>56</v>
      </c>
      <c r="F18" s="9"/>
      <c r="G18" s="9"/>
      <c r="H18" s="9"/>
      <c r="I18" s="9"/>
      <c r="J18" s="9"/>
    </row>
    <row r="19" spans="1:10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spans="1:10">
      <c r="A20" s="9"/>
      <c r="B20" s="9"/>
      <c r="C20" s="9"/>
      <c r="D20" s="9"/>
      <c r="E20" s="9"/>
      <c r="F20" s="9"/>
      <c r="G20" s="9"/>
      <c r="H20" s="9"/>
      <c r="I20" s="9"/>
      <c r="J20" s="9"/>
    </row>
  </sheetData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"/>
  <sheetViews>
    <sheetView tabSelected="1" workbookViewId="0">
      <selection activeCell="B2" sqref="B2"/>
    </sheetView>
  </sheetViews>
  <sheetFormatPr defaultColWidth="9" defaultRowHeight="13.5"/>
  <cols>
    <col min="2" max="2" width="14" customWidth="1"/>
    <col min="3" max="3" width="16.19921875"/>
    <col min="4" max="4" width="21.9296875" customWidth="1"/>
    <col min="5" max="5" width="22" customWidth="1"/>
    <col min="7" max="8" width="21.86328125" customWidth="1"/>
  </cols>
  <sheetData>
    <row r="1" spans="1:10">
      <c r="A1" s="1"/>
      <c r="B1" s="1" t="s">
        <v>0</v>
      </c>
      <c r="C1" s="1" t="s">
        <v>1</v>
      </c>
      <c r="D1" s="1" t="s">
        <v>2</v>
      </c>
    </row>
    <row r="2" spans="1:10">
      <c r="A2" s="1"/>
      <c r="B2" s="22" t="s">
        <v>91</v>
      </c>
      <c r="C2" s="18" t="s">
        <v>90</v>
      </c>
      <c r="D2" s="3">
        <v>45044</v>
      </c>
    </row>
    <row r="3" spans="1:10">
      <c r="A3" t="s">
        <v>6</v>
      </c>
    </row>
    <row r="4" spans="1:10">
      <c r="B4" t="s">
        <v>7</v>
      </c>
    </row>
    <row r="5" spans="1:10">
      <c r="B5" t="s">
        <v>68</v>
      </c>
    </row>
    <row r="6" spans="1:10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</row>
    <row r="7" spans="1:10">
      <c r="A7">
        <v>2018</v>
      </c>
      <c r="B7" t="s">
        <v>19</v>
      </c>
      <c r="C7" s="4">
        <v>105120500.89</v>
      </c>
    </row>
  </sheetData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5"/>
  <sheetViews>
    <sheetView workbookViewId="0">
      <selection activeCell="I23" sqref="I23"/>
    </sheetView>
  </sheetViews>
  <sheetFormatPr defaultColWidth="9" defaultRowHeight="13.5"/>
  <cols>
    <col min="2" max="2" width="16.19921875" customWidth="1"/>
    <col min="3" max="3" width="16.19921875"/>
    <col min="4" max="4" width="21.9296875" customWidth="1"/>
    <col min="5" max="5" width="22" customWidth="1"/>
    <col min="6" max="6" width="15.06640625"/>
    <col min="7" max="8" width="21.86328125" customWidth="1"/>
    <col min="9" max="9" width="17.33203125"/>
    <col min="10" max="10" width="17.796875" customWidth="1"/>
    <col min="11" max="11" width="11.73046875"/>
  </cols>
  <sheetData>
    <row r="1" spans="1:10">
      <c r="A1" s="1"/>
      <c r="B1" s="1" t="s">
        <v>0</v>
      </c>
      <c r="C1" s="1" t="s">
        <v>1</v>
      </c>
      <c r="D1" s="1" t="s">
        <v>2</v>
      </c>
    </row>
    <row r="2" spans="1:10">
      <c r="A2" s="1"/>
      <c r="B2" s="2" t="s">
        <v>69</v>
      </c>
      <c r="C2" s="1" t="s">
        <v>70</v>
      </c>
      <c r="D2" s="3">
        <v>45126</v>
      </c>
    </row>
    <row r="3" spans="1:10">
      <c r="A3" t="s">
        <v>6</v>
      </c>
    </row>
    <row r="4" spans="1:10">
      <c r="B4" t="s">
        <v>7</v>
      </c>
    </row>
    <row r="5" spans="1:10">
      <c r="B5" t="s">
        <v>71</v>
      </c>
    </row>
    <row r="6" spans="1:10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</row>
    <row r="7" spans="1:10">
      <c r="A7">
        <v>2019</v>
      </c>
      <c r="B7" t="s">
        <v>72</v>
      </c>
      <c r="C7" s="4">
        <v>25649047.739999998</v>
      </c>
    </row>
    <row r="8" spans="1:10">
      <c r="B8" s="7" t="s">
        <v>73</v>
      </c>
      <c r="F8" s="4">
        <v>18949922.949999999</v>
      </c>
    </row>
    <row r="9" spans="1:10">
      <c r="B9" t="s">
        <v>26</v>
      </c>
      <c r="C9" s="4">
        <v>18949922.949999999</v>
      </c>
      <c r="E9" s="5">
        <v>0.04</v>
      </c>
      <c r="I9" s="4">
        <f>C9/E9</f>
        <v>473748073.75</v>
      </c>
    </row>
    <row r="11" spans="1:10">
      <c r="A11" t="s">
        <v>21</v>
      </c>
    </row>
    <row r="12" spans="1:10">
      <c r="B12" t="s">
        <v>7</v>
      </c>
    </row>
    <row r="13" spans="1:10">
      <c r="B13" t="s">
        <v>74</v>
      </c>
    </row>
    <row r="14" spans="1:10">
      <c r="A14" t="s">
        <v>9</v>
      </c>
      <c r="B14" t="s">
        <v>10</v>
      </c>
      <c r="C14" t="s">
        <v>11</v>
      </c>
      <c r="D14" t="s">
        <v>12</v>
      </c>
      <c r="E14" t="s">
        <v>13</v>
      </c>
      <c r="F14" t="s">
        <v>14</v>
      </c>
      <c r="G14" t="s">
        <v>15</v>
      </c>
      <c r="H14" t="s">
        <v>16</v>
      </c>
      <c r="I14" t="s">
        <v>17</v>
      </c>
      <c r="J14" t="s">
        <v>18</v>
      </c>
    </row>
    <row r="15" spans="1:10">
      <c r="A15">
        <v>2020</v>
      </c>
      <c r="B15" t="s">
        <v>19</v>
      </c>
      <c r="C15" s="4">
        <v>130807751.69</v>
      </c>
      <c r="D15" s="5">
        <v>8.3299999999999999E-2</v>
      </c>
      <c r="J15" s="4">
        <f>C15/D15</f>
        <v>1570321148.7395</v>
      </c>
    </row>
    <row r="16" spans="1:10">
      <c r="B16" t="s">
        <v>55</v>
      </c>
      <c r="C16" s="4">
        <v>122475043.56999999</v>
      </c>
    </row>
    <row r="17" spans="1:9">
      <c r="B17" t="s">
        <v>26</v>
      </c>
      <c r="C17" s="4">
        <v>4408475.57</v>
      </c>
      <c r="E17" s="5">
        <v>6.9500000000000006E-2</v>
      </c>
      <c r="I17" s="4">
        <f>C17/E17</f>
        <v>63431303.165467598</v>
      </c>
    </row>
    <row r="19" spans="1:9">
      <c r="A19" t="s">
        <v>33</v>
      </c>
    </row>
    <row r="20" spans="1:9">
      <c r="B20" t="s">
        <v>75</v>
      </c>
    </row>
    <row r="21" spans="1:9">
      <c r="A21">
        <v>2019</v>
      </c>
      <c r="B21" t="s">
        <v>76</v>
      </c>
    </row>
    <row r="24" spans="1:9">
      <c r="A24" s="1"/>
      <c r="B24" s="1" t="s">
        <v>0</v>
      </c>
      <c r="C24" s="1" t="s">
        <v>1</v>
      </c>
      <c r="D24" s="1" t="s">
        <v>2</v>
      </c>
    </row>
    <row r="25" spans="1:9">
      <c r="A25" s="1"/>
      <c r="B25" s="2" t="s">
        <v>69</v>
      </c>
      <c r="C25" s="1" t="s">
        <v>70</v>
      </c>
      <c r="D25" s="3">
        <v>45141</v>
      </c>
      <c r="E25" t="s">
        <v>56</v>
      </c>
    </row>
  </sheetData>
  <phoneticPr fontId="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1"/>
  <sheetViews>
    <sheetView workbookViewId="0">
      <selection activeCell="J16" sqref="J16"/>
    </sheetView>
  </sheetViews>
  <sheetFormatPr defaultColWidth="9" defaultRowHeight="13.5"/>
  <cols>
    <col min="2" max="2" width="14" customWidth="1"/>
    <col min="3" max="3" width="15.06640625"/>
    <col min="4" max="4" width="21.9296875" customWidth="1"/>
    <col min="5" max="5" width="22" customWidth="1"/>
    <col min="7" max="8" width="21.86328125" customWidth="1"/>
    <col min="9" max="9" width="15.1328125" customWidth="1"/>
  </cols>
  <sheetData>
    <row r="1" spans="1:10">
      <c r="A1" s="1"/>
      <c r="B1" s="1" t="s">
        <v>0</v>
      </c>
      <c r="C1" s="1" t="s">
        <v>1</v>
      </c>
      <c r="D1" s="1" t="s">
        <v>2</v>
      </c>
    </row>
    <row r="2" spans="1:10">
      <c r="A2" s="1"/>
      <c r="B2" s="2" t="s">
        <v>77</v>
      </c>
      <c r="C2" s="1" t="s">
        <v>78</v>
      </c>
      <c r="D2" s="3">
        <v>45195</v>
      </c>
    </row>
    <row r="3" spans="1:10">
      <c r="A3" t="s">
        <v>6</v>
      </c>
    </row>
    <row r="4" spans="1:10">
      <c r="B4" t="s">
        <v>7</v>
      </c>
    </row>
    <row r="5" spans="1:10">
      <c r="B5" t="s">
        <v>79</v>
      </c>
    </row>
    <row r="6" spans="1:10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</row>
    <row r="7" spans="1:10">
      <c r="A7">
        <v>2019</v>
      </c>
      <c r="B7" t="s">
        <v>19</v>
      </c>
      <c r="C7" s="4">
        <v>34929355.969999999</v>
      </c>
    </row>
    <row r="8" spans="1:10">
      <c r="B8" t="s">
        <v>26</v>
      </c>
      <c r="C8" s="4">
        <v>33021672.43</v>
      </c>
      <c r="E8" s="5">
        <v>0.20030000000000001</v>
      </c>
      <c r="I8" s="4">
        <f>C8/E8</f>
        <v>164861070.544184</v>
      </c>
    </row>
    <row r="9" spans="1:10">
      <c r="A9">
        <v>2020</v>
      </c>
      <c r="B9" t="s">
        <v>19</v>
      </c>
      <c r="C9" s="4">
        <v>96468786.129999995</v>
      </c>
    </row>
    <row r="10" spans="1:10">
      <c r="B10" t="s">
        <v>55</v>
      </c>
      <c r="C10" s="4">
        <v>9228186.6600000001</v>
      </c>
    </row>
    <row r="11" spans="1:10">
      <c r="B11" t="s">
        <v>26</v>
      </c>
      <c r="C11" s="4">
        <v>83941383.25</v>
      </c>
      <c r="E11" s="6">
        <v>0.67</v>
      </c>
      <c r="I11" s="4">
        <f>C11/E11</f>
        <v>125285646.641791</v>
      </c>
    </row>
  </sheetData>
  <phoneticPr fontId="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2"/>
  <sheetViews>
    <sheetView workbookViewId="0">
      <selection activeCell="B4" sqref="B4"/>
    </sheetView>
  </sheetViews>
  <sheetFormatPr defaultColWidth="9" defaultRowHeight="13.5"/>
  <cols>
    <col min="2" max="2" width="14" customWidth="1"/>
    <col min="3" max="3" width="16.19921875"/>
    <col min="4" max="4" width="21.9296875" customWidth="1"/>
    <col min="5" max="5" width="22" customWidth="1"/>
    <col min="6" max="6" width="16.796875" customWidth="1"/>
    <col min="7" max="8" width="21.86328125" customWidth="1"/>
    <col min="9" max="9" width="15" customWidth="1"/>
  </cols>
  <sheetData>
    <row r="1" spans="1:10">
      <c r="A1" s="1"/>
      <c r="B1" s="1" t="s">
        <v>0</v>
      </c>
      <c r="C1" s="1" t="s">
        <v>1</v>
      </c>
      <c r="D1" s="1" t="s">
        <v>2</v>
      </c>
    </row>
    <row r="2" spans="1:10">
      <c r="A2" s="1"/>
      <c r="B2" s="2" t="s">
        <v>80</v>
      </c>
      <c r="C2" s="1" t="s">
        <v>81</v>
      </c>
      <c r="D2" s="3">
        <v>45250</v>
      </c>
    </row>
    <row r="3" spans="1:10">
      <c r="A3" t="s">
        <v>6</v>
      </c>
    </row>
    <row r="4" spans="1:10">
      <c r="B4" t="s">
        <v>7</v>
      </c>
    </row>
    <row r="5" spans="1:10">
      <c r="B5" t="s">
        <v>82</v>
      </c>
    </row>
    <row r="6" spans="1:10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</row>
    <row r="7" spans="1:10">
      <c r="A7">
        <v>2017</v>
      </c>
      <c r="B7" t="s">
        <v>19</v>
      </c>
      <c r="C7" s="4">
        <v>501424300</v>
      </c>
    </row>
    <row r="8" spans="1:10">
      <c r="B8" t="s">
        <v>26</v>
      </c>
      <c r="C8" s="4">
        <v>146478800</v>
      </c>
      <c r="E8" s="5">
        <v>1.0306</v>
      </c>
      <c r="I8" s="4">
        <f>C8/E8</f>
        <v>142129633.22336501</v>
      </c>
    </row>
    <row r="9" spans="1:10">
      <c r="A9">
        <v>2018</v>
      </c>
      <c r="B9" t="s">
        <v>19</v>
      </c>
      <c r="C9" s="4">
        <v>549731300</v>
      </c>
    </row>
    <row r="10" spans="1:10">
      <c r="B10" t="s">
        <v>26</v>
      </c>
      <c r="C10" s="4">
        <v>147671600</v>
      </c>
      <c r="E10" s="5">
        <v>1.331</v>
      </c>
      <c r="I10" s="4">
        <f>C10/E10</f>
        <v>110947858.752817</v>
      </c>
    </row>
    <row r="11" spans="1:10">
      <c r="A11">
        <v>2019</v>
      </c>
      <c r="B11" t="s">
        <v>19</v>
      </c>
      <c r="F11" s="4">
        <v>196716200</v>
      </c>
    </row>
    <row r="12" spans="1:10">
      <c r="B12" t="s">
        <v>26</v>
      </c>
      <c r="F12" s="4">
        <v>38527700</v>
      </c>
      <c r="H12" s="5">
        <v>0.3135</v>
      </c>
      <c r="I12" s="4">
        <f>F12/H12</f>
        <v>122895374.80063801</v>
      </c>
    </row>
    <row r="13" spans="1:10">
      <c r="A13">
        <v>2020</v>
      </c>
      <c r="B13" t="s">
        <v>19</v>
      </c>
      <c r="F13" s="4">
        <v>5376800</v>
      </c>
    </row>
    <row r="14" spans="1:10">
      <c r="B14" t="s">
        <v>26</v>
      </c>
      <c r="C14" s="4">
        <v>57300800</v>
      </c>
      <c r="E14" s="5">
        <v>1.0155000000000001</v>
      </c>
      <c r="I14" s="4">
        <f>C14/E14</f>
        <v>56426193.993106797</v>
      </c>
    </row>
    <row r="15" spans="1:10">
      <c r="A15">
        <v>2021</v>
      </c>
      <c r="B15" t="s">
        <v>19</v>
      </c>
      <c r="C15" s="4">
        <v>68930700</v>
      </c>
    </row>
    <row r="16" spans="1:10">
      <c r="B16" t="s">
        <v>26</v>
      </c>
      <c r="C16" s="4">
        <v>73987100</v>
      </c>
      <c r="E16" s="5">
        <v>57.7438</v>
      </c>
      <c r="I16" s="4">
        <f>C16/E16</f>
        <v>1281299.4641849</v>
      </c>
    </row>
    <row r="17" spans="1:9">
      <c r="A17">
        <v>2022</v>
      </c>
      <c r="B17" t="s">
        <v>19</v>
      </c>
      <c r="C17" s="4">
        <v>15308500</v>
      </c>
    </row>
    <row r="18" spans="1:9">
      <c r="B18" t="s">
        <v>26</v>
      </c>
      <c r="C18" s="4">
        <v>43327300</v>
      </c>
      <c r="E18" s="5">
        <v>0.1183</v>
      </c>
      <c r="I18" s="4">
        <f>C18/E18</f>
        <v>366249366.01859701</v>
      </c>
    </row>
    <row r="21" spans="1:9">
      <c r="A21" s="1"/>
      <c r="B21" s="1" t="s">
        <v>0</v>
      </c>
      <c r="C21" s="1" t="s">
        <v>1</v>
      </c>
      <c r="D21" s="1" t="s">
        <v>2</v>
      </c>
    </row>
    <row r="22" spans="1:9">
      <c r="A22" s="1"/>
      <c r="B22" s="2" t="s">
        <v>80</v>
      </c>
      <c r="C22" s="1" t="s">
        <v>81</v>
      </c>
      <c r="D22" s="3">
        <v>45285</v>
      </c>
      <c r="E22" t="s">
        <v>56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002528</vt:lpstr>
      <vt:lpstr>002529</vt:lpstr>
      <vt:lpstr>002564</vt:lpstr>
      <vt:lpstr>002584</vt:lpstr>
      <vt:lpstr>002642</vt:lpstr>
      <vt:lpstr>002652</vt:lpstr>
      <vt:lpstr>300013</vt:lpstr>
      <vt:lpstr>300044</vt:lpstr>
      <vt:lpstr>300078</vt:lpstr>
      <vt:lpstr>300091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鸫鸫ヾ(◍°∇°◍)ﾉﾞ</dc:creator>
  <cp:lastModifiedBy>没睡醒x 鸫鸫</cp:lastModifiedBy>
  <dcterms:created xsi:type="dcterms:W3CDTF">2023-05-12T11:15:00Z</dcterms:created>
  <dcterms:modified xsi:type="dcterms:W3CDTF">2024-08-30T12:30:34Z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95C6D0CDF3614C94A053A8303BBF3F85_12</vt:lpwstr>
  </property>
</Properties>
</file>