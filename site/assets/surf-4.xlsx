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！Y2 Documents\SURF\Task3\"/>
    </mc:Choice>
  </mc:AlternateContent>
  <xr:revisionPtr revIDLastSave="0" documentId="13_ncr:1_{637FAED8-CB92-4F74-851F-D1DAE66E7BD5}" xr6:coauthVersionLast="47" xr6:coauthVersionMax="47" xr10:uidLastSave="{00000000-0000-0000-0000-000000000000}"/>
  <bookViews>
    <workbookView xWindow="11617" yWindow="0" windowWidth="11865" windowHeight="14963" tabRatio="826" activeTab="4" xr2:uid="{FA84969C-D92A-4D73-A521-0E0FD25D822E}"/>
  </bookViews>
  <sheets>
    <sheet name="bs" sheetId="17" r:id="rId1"/>
    <sheet name="is" sheetId="18" r:id="rId2"/>
    <sheet name="cf" sheetId="19" r:id="rId3"/>
    <sheet name="ROE" sheetId="5" r:id="rId4"/>
    <sheet name="Profitability" sheetId="9" r:id="rId5"/>
    <sheet name="Reference1" sheetId="7" r:id="rId6"/>
    <sheet name="Reference2" sheetId="10" r:id="rId7"/>
    <sheet name="Solvency_liquidity" sheetId="12" r:id="rId8"/>
    <sheet name="Operation efficiency" sheetId="13" r:id="rId9"/>
  </sheets>
  <externalReferences>
    <externalReference r:id="rId10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12" i="12"/>
  <c r="C12" i="12"/>
  <c r="D12" i="12"/>
  <c r="E12" i="12"/>
  <c r="F12" i="12"/>
  <c r="B13" i="12"/>
  <c r="C13" i="12"/>
  <c r="D13" i="12"/>
  <c r="E13" i="12"/>
  <c r="F13" i="12"/>
  <c r="C11" i="12"/>
  <c r="D11" i="12"/>
  <c r="E11" i="12"/>
  <c r="F11" i="12"/>
  <c r="B11" i="12"/>
  <c r="B8" i="12"/>
  <c r="C8" i="12"/>
  <c r="D8" i="12"/>
  <c r="E8" i="12"/>
  <c r="F8" i="12"/>
  <c r="B9" i="12"/>
  <c r="C9" i="12"/>
  <c r="D9" i="12"/>
  <c r="E9" i="12"/>
  <c r="F9" i="12"/>
  <c r="C7" i="12"/>
  <c r="D7" i="12"/>
  <c r="E7" i="12"/>
  <c r="F7" i="12"/>
  <c r="B7" i="12"/>
  <c r="B4" i="12"/>
  <c r="C4" i="12"/>
  <c r="D4" i="12"/>
  <c r="E4" i="12"/>
  <c r="F4" i="12"/>
  <c r="B5" i="12"/>
  <c r="C5" i="12"/>
  <c r="D5" i="12"/>
  <c r="E5" i="12"/>
  <c r="F5" i="12"/>
  <c r="C3" i="12"/>
  <c r="D3" i="12"/>
  <c r="E3" i="12"/>
  <c r="F3" i="12"/>
  <c r="B3" i="12"/>
  <c r="F13" i="13"/>
  <c r="F17" i="13" s="1"/>
  <c r="F12" i="13"/>
  <c r="F16" i="13" s="1"/>
  <c r="F11" i="13"/>
  <c r="F15" i="13" s="1"/>
  <c r="F5" i="13"/>
  <c r="F9" i="13" s="1"/>
  <c r="F4" i="13"/>
  <c r="F8" i="13" s="1"/>
  <c r="F3" i="13"/>
  <c r="F7" i="13" s="1"/>
  <c r="F13" i="9"/>
  <c r="F12" i="9"/>
  <c r="F11" i="9"/>
  <c r="F9" i="9"/>
  <c r="F8" i="9"/>
  <c r="F7" i="9"/>
  <c r="F5" i="9"/>
  <c r="F4" i="9"/>
  <c r="F3" i="9"/>
  <c r="F17" i="5"/>
  <c r="F16" i="5"/>
  <c r="F15" i="5"/>
  <c r="F13" i="5"/>
  <c r="F12" i="5"/>
  <c r="F11" i="5"/>
  <c r="F9" i="5"/>
  <c r="F8" i="5"/>
  <c r="F7" i="5"/>
  <c r="F5" i="5"/>
  <c r="F4" i="5"/>
  <c r="F3" i="5"/>
  <c r="B12" i="13"/>
  <c r="B16" i="13" s="1"/>
  <c r="C12" i="13"/>
  <c r="C16" i="13" s="1"/>
  <c r="D12" i="13"/>
  <c r="D16" i="13" s="1"/>
  <c r="E12" i="13"/>
  <c r="E16" i="13" s="1"/>
  <c r="B13" i="13"/>
  <c r="B17" i="13" s="1"/>
  <c r="C13" i="13"/>
  <c r="C17" i="13" s="1"/>
  <c r="D13" i="13"/>
  <c r="D17" i="13" s="1"/>
  <c r="E13" i="13"/>
  <c r="E17" i="13" s="1"/>
  <c r="C11" i="13"/>
  <c r="C15" i="13" s="1"/>
  <c r="D11" i="13"/>
  <c r="D15" i="13" s="1"/>
  <c r="E11" i="13"/>
  <c r="E15" i="13" s="1"/>
  <c r="B11" i="13"/>
  <c r="B15" i="13" s="1"/>
  <c r="B4" i="13"/>
  <c r="B8" i="13" s="1"/>
  <c r="C4" i="13"/>
  <c r="C8" i="13" s="1"/>
  <c r="D4" i="13"/>
  <c r="D8" i="13" s="1"/>
  <c r="E4" i="13"/>
  <c r="E8" i="13" s="1"/>
  <c r="B5" i="13"/>
  <c r="B9" i="13" s="1"/>
  <c r="C5" i="13"/>
  <c r="C9" i="13" s="1"/>
  <c r="D5" i="13"/>
  <c r="D9" i="13" s="1"/>
  <c r="E5" i="13"/>
  <c r="E9" i="13" s="1"/>
  <c r="C3" i="13"/>
  <c r="C7" i="13" s="1"/>
  <c r="D3" i="13"/>
  <c r="D7" i="13" s="1"/>
  <c r="E3" i="13"/>
  <c r="E7" i="13" s="1"/>
  <c r="B3" i="13"/>
  <c r="B7" i="13" s="1"/>
  <c r="B12" i="9"/>
  <c r="C12" i="9"/>
  <c r="D12" i="9"/>
  <c r="E12" i="9"/>
  <c r="B13" i="9"/>
  <c r="C13" i="9"/>
  <c r="D13" i="9"/>
  <c r="E13" i="9"/>
  <c r="C11" i="9"/>
  <c r="D11" i="9"/>
  <c r="E11" i="9"/>
  <c r="B11" i="9"/>
  <c r="B8" i="9"/>
  <c r="C8" i="9"/>
  <c r="D8" i="9"/>
  <c r="E8" i="9"/>
  <c r="B9" i="9"/>
  <c r="C9" i="9"/>
  <c r="D9" i="9"/>
  <c r="E9" i="9"/>
  <c r="C7" i="9"/>
  <c r="D7" i="9"/>
  <c r="E7" i="9"/>
  <c r="B4" i="9"/>
  <c r="C4" i="9"/>
  <c r="D4" i="9"/>
  <c r="E4" i="9"/>
  <c r="B5" i="9"/>
  <c r="C5" i="9"/>
  <c r="D5" i="9"/>
  <c r="E5" i="9"/>
  <c r="C3" i="9"/>
  <c r="D3" i="9"/>
  <c r="E3" i="9"/>
  <c r="B3" i="9"/>
  <c r="B12" i="5"/>
  <c r="C12" i="5"/>
  <c r="D12" i="5"/>
  <c r="E12" i="5"/>
  <c r="B13" i="5"/>
  <c r="C13" i="5"/>
  <c r="D13" i="5"/>
  <c r="E13" i="5"/>
  <c r="C11" i="5"/>
  <c r="D11" i="5"/>
  <c r="E11" i="5"/>
  <c r="B11" i="5"/>
  <c r="B8" i="5"/>
  <c r="C8" i="5"/>
  <c r="D8" i="5"/>
  <c r="E8" i="5"/>
  <c r="B9" i="5"/>
  <c r="C9" i="5"/>
  <c r="D9" i="5"/>
  <c r="E9" i="5"/>
  <c r="C7" i="5"/>
  <c r="D7" i="5"/>
  <c r="E7" i="5"/>
  <c r="B7" i="5"/>
  <c r="B4" i="5"/>
  <c r="C4" i="5"/>
  <c r="D4" i="5"/>
  <c r="E4" i="5"/>
  <c r="B5" i="5"/>
  <c r="C5" i="5"/>
  <c r="D5" i="5"/>
  <c r="E5" i="5"/>
  <c r="C3" i="5"/>
  <c r="D3" i="5"/>
  <c r="E3" i="5"/>
  <c r="B3" i="5"/>
  <c r="B16" i="5"/>
  <c r="C16" i="5"/>
  <c r="D16" i="5"/>
  <c r="E16" i="5"/>
  <c r="B17" i="5"/>
  <c r="C17" i="5"/>
  <c r="D17" i="5"/>
  <c r="E17" i="5"/>
  <c r="C15" i="5"/>
  <c r="D15" i="5"/>
  <c r="E15" i="5"/>
  <c r="B15" i="5"/>
</calcChain>
</file>

<file path=xl/sharedStrings.xml><?xml version="1.0" encoding="utf-8"?>
<sst xmlns="http://schemas.openxmlformats.org/spreadsheetml/2006/main" count="340" uniqueCount="77">
  <si>
    <t xml:space="preserve">    Net Sales</t>
  </si>
  <si>
    <t xml:space="preserve"> - Cost of goods sold (Cost of sales)</t>
  </si>
  <si>
    <t xml:space="preserve"> = Gross Profit</t>
  </si>
  <si>
    <t xml:space="preserve"> - Selling, administrative, R&amp;D expenses</t>
  </si>
  <si>
    <t xml:space="preserve"> + Investment income</t>
  </si>
  <si>
    <t xml:space="preserve"> + Gains on changes in fair value of financial assets</t>
  </si>
  <si>
    <t xml:space="preserve"> - Asset impairment losses</t>
  </si>
  <si>
    <t xml:space="preserve"> +/(-) Gains/(Loss) on disposal of assets</t>
  </si>
  <si>
    <t xml:space="preserve"> +/(-) Other income/(expense)</t>
  </si>
  <si>
    <t xml:space="preserve"> = EBIT (Earnings before interest expense and taxes)</t>
  </si>
  <si>
    <t xml:space="preserve"> -/(+) Net Financial expense/(income)</t>
  </si>
  <si>
    <t xml:space="preserve"> = Total Profit</t>
  </si>
  <si>
    <t xml:space="preserve"> - Income tax expenses</t>
  </si>
  <si>
    <t xml:space="preserve"> = Net profit</t>
  </si>
  <si>
    <t xml:space="preserve"> = Main business Profit</t>
  </si>
  <si>
    <t>Gross Margin</t>
  </si>
  <si>
    <t>Profit Margin</t>
  </si>
  <si>
    <t>Main Business Profit Margin</t>
  </si>
  <si>
    <t xml:space="preserve">    Non-interest bearing liabilitites</t>
  </si>
  <si>
    <t xml:space="preserve"> + Interest-bearing liabililites (Total debt)</t>
  </si>
  <si>
    <t xml:space="preserve"> = Total liabilities</t>
  </si>
  <si>
    <t xml:space="preserve"> - Deferred income</t>
  </si>
  <si>
    <t xml:space="preserve"> = Total liabilities - Adjustment</t>
  </si>
  <si>
    <t xml:space="preserve"> = Interest-bearing liabilities (Total debt)</t>
  </si>
  <si>
    <t>Total liabilities (adjusted)/Total assets</t>
  </si>
  <si>
    <t>Total debt/Total assets</t>
  </si>
  <si>
    <t>Current ratio</t>
  </si>
  <si>
    <t>Account receivables  turnover ratio</t>
  </si>
  <si>
    <t>Days Sales Outstanding (DSO)</t>
  </si>
  <si>
    <t>Inventory turnover ratio</t>
  </si>
  <si>
    <t>Days sales of inventory</t>
  </si>
  <si>
    <t>stkcd</t>
  </si>
  <si>
    <t>Total assets</t>
  </si>
  <si>
    <t>Total liabilities</t>
  </si>
  <si>
    <t>Advances from customers</t>
  </si>
  <si>
    <t>Contract liabilities</t>
  </si>
  <si>
    <t>Deferred income-current liabilities</t>
  </si>
  <si>
    <t>Deferred income-Noncurrent liabilities</t>
  </si>
  <si>
    <t>long-term debts</t>
  </si>
  <si>
    <t>long-term bonds payables</t>
  </si>
  <si>
    <t>short-term borrowings</t>
  </si>
  <si>
    <t>Non-current liabilities within one year</t>
  </si>
  <si>
    <t>current assets</t>
  </si>
  <si>
    <t>current liabilities</t>
  </si>
  <si>
    <t>Account receivable</t>
  </si>
  <si>
    <t>Inventory</t>
  </si>
  <si>
    <t>year</t>
  </si>
  <si>
    <t>Net sales/Revenue</t>
  </si>
  <si>
    <t>Cost of goods sold</t>
  </si>
  <si>
    <t>Selling expense</t>
  </si>
  <si>
    <t>Administrative expense</t>
  </si>
  <si>
    <t>R&amp;D expense</t>
  </si>
  <si>
    <t>Net profit</t>
  </si>
  <si>
    <t>Net Cash Flow From Operating Activities</t>
  </si>
  <si>
    <t>Profit/Sales</t>
    <phoneticPr fontId="9" type="noConversion"/>
  </si>
  <si>
    <t>Sales/Avearge Total assets</t>
    <phoneticPr fontId="9" type="noConversion"/>
  </si>
  <si>
    <t>Average Total assets /Average Total equity</t>
    <phoneticPr fontId="9" type="noConversion"/>
  </si>
  <si>
    <t>ROE (Average Equity)</t>
    <phoneticPr fontId="9" type="noConversion"/>
  </si>
  <si>
    <t>Total equity</t>
  </si>
  <si>
    <t>Tax And Additional Fees Of Operations</t>
  </si>
  <si>
    <t>contract assets</t>
  </si>
  <si>
    <t>N</t>
    <phoneticPr fontId="9" type="noConversion"/>
  </si>
  <si>
    <t>N-1</t>
    <phoneticPr fontId="9" type="noConversion"/>
  </si>
  <si>
    <t>N-2</t>
    <phoneticPr fontId="9" type="noConversion"/>
  </si>
  <si>
    <t>N-3</t>
    <phoneticPr fontId="9" type="noConversion"/>
  </si>
  <si>
    <t>N-4</t>
    <phoneticPr fontId="9" type="noConversion"/>
  </si>
  <si>
    <t>N-5</t>
    <phoneticPr fontId="9" type="noConversion"/>
  </si>
  <si>
    <t xml:space="preserve"> - Advances from customers/Contract liabilities</t>
    <phoneticPr fontId="9" type="noConversion"/>
  </si>
  <si>
    <t xml:space="preserve">    Long-term debt+ Short-term debt</t>
    <phoneticPr fontId="9" type="noConversion"/>
  </si>
  <si>
    <t/>
  </si>
  <si>
    <t>002564</t>
  </si>
  <si>
    <t>002584</t>
  </si>
  <si>
    <t>300044</t>
  </si>
  <si>
    <t>Dupont Analysis</t>
    <phoneticPr fontId="9" type="noConversion"/>
  </si>
  <si>
    <t>赛为智能</t>
  </si>
  <si>
    <t>西陇科学</t>
  </si>
  <si>
    <r>
      <t>*ST</t>
    </r>
    <r>
      <rPr>
        <sz val="18"/>
        <rFont val="宋体"/>
        <family val="1"/>
        <charset val="134"/>
      </rPr>
      <t>天沃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</si>
</sst>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%"/>
    <numFmt numFmtId="177" formatCode="_ * #,##0_ ;_ * \-#,##0_ ;_ * &quot;-&quot;??_ ;_ @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等线"/>
      <family val="2"/>
      <charset val="134"/>
      <scheme val="minor"/>
    </font>
    <font>
      <b/>
      <sz val="16"/>
      <color rgb="FF000000"/>
      <name val="Times New Roman"/>
      <family val="1"/>
    </font>
    <font>
      <sz val="16"/>
      <color rgb="FF0070C0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b/>
      <sz val="18"/>
      <color rgb="FF0070C0"/>
      <name val="Times New Roman"/>
      <family val="1"/>
    </font>
    <font>
      <b/>
      <sz val="18"/>
      <color theme="1"/>
      <name val="Times New Roman"/>
      <family val="1"/>
    </font>
    <font>
      <sz val="18"/>
      <name val="Times New Roman"/>
      <family val="1"/>
    </font>
    <font>
      <sz val="18"/>
      <color theme="1"/>
      <name val="Times New Roman"/>
      <family val="1"/>
    </font>
    <font>
      <sz val="11"/>
      <color indexed="8"/>
      <name val="宋体"/>
      <family val="3"/>
      <charset val="134"/>
    </font>
    <font>
      <sz val="18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49" fontId="2" fillId="3" borderId="2" xfId="0" applyNumberFormat="1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0" borderId="0" xfId="0" applyFont="1"/>
    <xf numFmtId="0" fontId="7" fillId="3" borderId="2" xfId="0" applyFont="1" applyFill="1" applyBorder="1" applyAlignment="1">
      <alignment horizontal="left" vertical="center" wrapText="1" readingOrder="1"/>
    </xf>
    <xf numFmtId="0" fontId="8" fillId="3" borderId="2" xfId="0" applyFont="1" applyFill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vertical="center"/>
    </xf>
    <xf numFmtId="176" fontId="16" fillId="0" borderId="1" xfId="2" applyNumberFormat="1" applyFont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2" fontId="16" fillId="0" borderId="1" xfId="2" applyNumberFormat="1" applyFont="1" applyBorder="1" applyAlignment="1">
      <alignment vertical="center"/>
    </xf>
    <xf numFmtId="0" fontId="14" fillId="2" borderId="1" xfId="0" applyFont="1" applyFill="1" applyBorder="1"/>
    <xf numFmtId="176" fontId="16" fillId="0" borderId="1" xfId="2" applyNumberFormat="1" applyFont="1" applyBorder="1"/>
    <xf numFmtId="0" fontId="14" fillId="2" borderId="1" xfId="0" applyFont="1" applyFill="1" applyBorder="1" applyAlignment="1">
      <alignment vertical="center"/>
    </xf>
    <xf numFmtId="0" fontId="16" fillId="0" borderId="0" xfId="0" applyFont="1"/>
    <xf numFmtId="176" fontId="16" fillId="0" borderId="1" xfId="2" applyNumberFormat="1" applyFont="1" applyBorder="1" applyAlignment="1">
      <alignment horizontal="right" vertical="center"/>
    </xf>
    <xf numFmtId="43" fontId="16" fillId="0" borderId="1" xfId="1" applyFont="1" applyBorder="1" applyAlignment="1">
      <alignment horizontal="right" vertical="center"/>
    </xf>
    <xf numFmtId="0" fontId="14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horizontal="right" vertical="top"/>
    </xf>
    <xf numFmtId="177" fontId="16" fillId="0" borderId="1" xfId="1" applyNumberFormat="1" applyFont="1" applyBorder="1" applyAlignment="1">
      <alignment horizontal="right" vertical="top"/>
    </xf>
    <xf numFmtId="1" fontId="16" fillId="0" borderId="1" xfId="1" applyNumberFormat="1" applyFont="1" applyBorder="1" applyAlignment="1">
      <alignment horizontal="right" vertical="top"/>
    </xf>
    <xf numFmtId="2" fontId="16" fillId="0" borderId="1" xfId="1" applyNumberFormat="1" applyFont="1" applyBorder="1" applyAlignment="1">
      <alignment horizontal="right" vertical="top"/>
    </xf>
    <xf numFmtId="0" fontId="17" fillId="0" borderId="0" xfId="0" applyFont="1"/>
    <xf numFmtId="0" fontId="11" fillId="0" borderId="3" xfId="0" applyFont="1" applyBorder="1" applyAlignment="1">
      <alignment horizontal="center" vertical="top"/>
    </xf>
    <xf numFmtId="0" fontId="14" fillId="0" borderId="0" xfId="0" applyFont="1"/>
    <xf numFmtId="0" fontId="10" fillId="0" borderId="1" xfId="0" applyFont="1" applyBorder="1" applyAlignment="1">
      <alignment horizontal="center" vertical="top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0099CC"/>
      <color rgb="FF0066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s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s2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F05C-9D35-4529-A518-7A65FF2D16FE}">
  <dimension ref="A1:CS7"/>
  <sheetViews>
    <sheetView workbookViewId="0">
      <pane xSplit="1" ySplit="1" topLeftCell="CB2" activePane="bottomRight" state="frozen"/>
      <selection pane="topRight" activeCell="B1" sqref="B1"/>
      <selection pane="bottomLeft" activeCell="A2" sqref="A2"/>
      <selection pane="bottomRight" activeCell="CN3" sqref="CN3:CS3"/>
    </sheetView>
  </sheetViews>
  <sheetFormatPr defaultRowHeight="13.9" x14ac:dyDescent="0.4"/>
  <cols>
    <col min="80" max="80" width="10.46484375" customWidth="1"/>
    <col min="86" max="86" width="12.73046875" customWidth="1"/>
    <col min="87" max="87" width="11.53125" customWidth="1"/>
  </cols>
  <sheetData>
    <row r="1" spans="1:97" x14ac:dyDescent="0.4">
      <c r="A1" s="9"/>
      <c r="B1" s="35" t="s">
        <v>32</v>
      </c>
      <c r="C1" s="35"/>
      <c r="D1" s="35"/>
      <c r="E1" s="35"/>
      <c r="F1" s="35"/>
      <c r="G1" s="35"/>
      <c r="H1" s="35" t="s">
        <v>33</v>
      </c>
      <c r="I1" s="35"/>
      <c r="J1" s="35"/>
      <c r="K1" s="35"/>
      <c r="L1" s="35"/>
      <c r="M1" s="35"/>
      <c r="N1" s="35" t="s">
        <v>58</v>
      </c>
      <c r="O1" s="35"/>
      <c r="P1" s="35"/>
      <c r="Q1" s="35"/>
      <c r="R1" s="35"/>
      <c r="S1" s="35"/>
      <c r="T1" s="35" t="s">
        <v>34</v>
      </c>
      <c r="U1" s="35"/>
      <c r="V1" s="35"/>
      <c r="W1" s="35"/>
      <c r="X1" s="35"/>
      <c r="Y1" s="35"/>
      <c r="Z1" s="35" t="s">
        <v>35</v>
      </c>
      <c r="AA1" s="35"/>
      <c r="AB1" s="35"/>
      <c r="AC1" s="35"/>
      <c r="AD1" s="35"/>
      <c r="AE1" s="35"/>
      <c r="AF1" s="35" t="s">
        <v>36</v>
      </c>
      <c r="AG1" s="35"/>
      <c r="AH1" s="35"/>
      <c r="AI1" s="35"/>
      <c r="AJ1" s="35"/>
      <c r="AK1" s="35"/>
      <c r="AL1" s="35" t="s">
        <v>37</v>
      </c>
      <c r="AM1" s="35"/>
      <c r="AN1" s="35"/>
      <c r="AO1" s="35"/>
      <c r="AP1" s="35"/>
      <c r="AQ1" s="35"/>
      <c r="AR1" s="35" t="s">
        <v>38</v>
      </c>
      <c r="AS1" s="35"/>
      <c r="AT1" s="35"/>
      <c r="AU1" s="35"/>
      <c r="AV1" s="35"/>
      <c r="AW1" s="35"/>
      <c r="AX1" s="35" t="s">
        <v>39</v>
      </c>
      <c r="AY1" s="35"/>
      <c r="AZ1" s="35"/>
      <c r="BA1" s="35"/>
      <c r="BB1" s="35"/>
      <c r="BC1" s="35"/>
      <c r="BD1" s="35" t="s">
        <v>40</v>
      </c>
      <c r="BE1" s="35"/>
      <c r="BF1" s="35"/>
      <c r="BG1" s="35"/>
      <c r="BH1" s="35"/>
      <c r="BI1" s="35"/>
      <c r="BJ1" s="35" t="s">
        <v>41</v>
      </c>
      <c r="BK1" s="35"/>
      <c r="BL1" s="35"/>
      <c r="BM1" s="35"/>
      <c r="BN1" s="35"/>
      <c r="BO1" s="35"/>
      <c r="BP1" s="35" t="s">
        <v>42</v>
      </c>
      <c r="BQ1" s="35"/>
      <c r="BR1" s="35"/>
      <c r="BS1" s="35"/>
      <c r="BT1" s="35"/>
      <c r="BU1" s="35"/>
      <c r="BV1" s="35" t="s">
        <v>43</v>
      </c>
      <c r="BW1" s="35"/>
      <c r="BX1" s="35"/>
      <c r="BY1" s="35"/>
      <c r="BZ1" s="35"/>
      <c r="CA1" s="35"/>
      <c r="CB1" s="35" t="s">
        <v>44</v>
      </c>
      <c r="CC1" s="35"/>
      <c r="CD1" s="35"/>
      <c r="CE1" s="35"/>
      <c r="CF1" s="35"/>
      <c r="CG1" s="35"/>
      <c r="CH1" s="35" t="s">
        <v>45</v>
      </c>
      <c r="CI1" s="35"/>
      <c r="CJ1" s="35"/>
      <c r="CK1" s="35"/>
      <c r="CL1" s="35"/>
      <c r="CM1" s="35"/>
      <c r="CN1" s="35" t="s">
        <v>60</v>
      </c>
      <c r="CO1" s="35"/>
      <c r="CP1" s="35"/>
      <c r="CQ1" s="35"/>
      <c r="CR1" s="35"/>
      <c r="CS1" s="35"/>
    </row>
    <row r="2" spans="1:97" x14ac:dyDescent="0.4">
      <c r="A2" s="9" t="s">
        <v>46</v>
      </c>
      <c r="B2" s="9" t="s">
        <v>66</v>
      </c>
      <c r="C2" s="9" t="s">
        <v>65</v>
      </c>
      <c r="D2" s="9" t="s">
        <v>64</v>
      </c>
      <c r="E2" s="9" t="s">
        <v>63</v>
      </c>
      <c r="F2" s="9" t="s">
        <v>62</v>
      </c>
      <c r="G2" s="9" t="s">
        <v>61</v>
      </c>
      <c r="H2" s="9" t="s">
        <v>66</v>
      </c>
      <c r="I2" s="9" t="s">
        <v>65</v>
      </c>
      <c r="J2" s="9" t="s">
        <v>64</v>
      </c>
      <c r="K2" s="9" t="s">
        <v>63</v>
      </c>
      <c r="L2" s="9" t="s">
        <v>62</v>
      </c>
      <c r="M2" s="9" t="s">
        <v>61</v>
      </c>
      <c r="N2" s="9" t="s">
        <v>66</v>
      </c>
      <c r="O2" s="9" t="s">
        <v>65</v>
      </c>
      <c r="P2" s="9" t="s">
        <v>64</v>
      </c>
      <c r="Q2" s="9" t="s">
        <v>63</v>
      </c>
      <c r="R2" s="9" t="s">
        <v>62</v>
      </c>
      <c r="S2" s="9" t="s">
        <v>61</v>
      </c>
      <c r="T2" s="9" t="s">
        <v>66</v>
      </c>
      <c r="U2" s="9" t="s">
        <v>65</v>
      </c>
      <c r="V2" s="9" t="s">
        <v>64</v>
      </c>
      <c r="W2" s="9" t="s">
        <v>63</v>
      </c>
      <c r="X2" s="9" t="s">
        <v>62</v>
      </c>
      <c r="Y2" s="9" t="s">
        <v>61</v>
      </c>
      <c r="Z2" s="9" t="s">
        <v>66</v>
      </c>
      <c r="AA2" s="9" t="s">
        <v>65</v>
      </c>
      <c r="AB2" s="9" t="s">
        <v>64</v>
      </c>
      <c r="AC2" s="9" t="s">
        <v>63</v>
      </c>
      <c r="AD2" s="9" t="s">
        <v>62</v>
      </c>
      <c r="AE2" s="9" t="s">
        <v>61</v>
      </c>
      <c r="AF2" s="9" t="s">
        <v>66</v>
      </c>
      <c r="AG2" s="9" t="s">
        <v>65</v>
      </c>
      <c r="AH2" s="9" t="s">
        <v>64</v>
      </c>
      <c r="AI2" s="9" t="s">
        <v>63</v>
      </c>
      <c r="AJ2" s="9" t="s">
        <v>62</v>
      </c>
      <c r="AK2" s="9" t="s">
        <v>61</v>
      </c>
      <c r="AL2" s="9" t="s">
        <v>66</v>
      </c>
      <c r="AM2" s="9" t="s">
        <v>65</v>
      </c>
      <c r="AN2" s="9" t="s">
        <v>64</v>
      </c>
      <c r="AO2" s="9" t="s">
        <v>63</v>
      </c>
      <c r="AP2" s="9" t="s">
        <v>62</v>
      </c>
      <c r="AQ2" s="9" t="s">
        <v>61</v>
      </c>
      <c r="AR2" s="9" t="s">
        <v>66</v>
      </c>
      <c r="AS2" s="9" t="s">
        <v>65</v>
      </c>
      <c r="AT2" s="9" t="s">
        <v>64</v>
      </c>
      <c r="AU2" s="9" t="s">
        <v>63</v>
      </c>
      <c r="AV2" s="9" t="s">
        <v>62</v>
      </c>
      <c r="AW2" s="9" t="s">
        <v>61</v>
      </c>
      <c r="AX2" s="9" t="s">
        <v>66</v>
      </c>
      <c r="AY2" s="9" t="s">
        <v>65</v>
      </c>
      <c r="AZ2" s="9" t="s">
        <v>64</v>
      </c>
      <c r="BA2" s="9" t="s">
        <v>63</v>
      </c>
      <c r="BB2" s="9" t="s">
        <v>62</v>
      </c>
      <c r="BC2" s="9" t="s">
        <v>61</v>
      </c>
      <c r="BD2" s="9" t="s">
        <v>66</v>
      </c>
      <c r="BE2" s="9" t="s">
        <v>65</v>
      </c>
      <c r="BF2" s="9" t="s">
        <v>64</v>
      </c>
      <c r="BG2" s="9" t="s">
        <v>63</v>
      </c>
      <c r="BH2" s="9" t="s">
        <v>62</v>
      </c>
      <c r="BI2" s="9" t="s">
        <v>61</v>
      </c>
      <c r="BJ2" s="9" t="s">
        <v>66</v>
      </c>
      <c r="BK2" s="9" t="s">
        <v>65</v>
      </c>
      <c r="BL2" s="9" t="s">
        <v>64</v>
      </c>
      <c r="BM2" s="9" t="s">
        <v>63</v>
      </c>
      <c r="BN2" s="9" t="s">
        <v>62</v>
      </c>
      <c r="BO2" s="9" t="s">
        <v>61</v>
      </c>
      <c r="BP2" s="9" t="s">
        <v>66</v>
      </c>
      <c r="BQ2" s="9" t="s">
        <v>65</v>
      </c>
      <c r="BR2" s="9" t="s">
        <v>64</v>
      </c>
      <c r="BS2" s="9" t="s">
        <v>63</v>
      </c>
      <c r="BT2" s="9" t="s">
        <v>62</v>
      </c>
      <c r="BU2" s="9" t="s">
        <v>61</v>
      </c>
      <c r="BV2" s="9" t="s">
        <v>66</v>
      </c>
      <c r="BW2" s="9" t="s">
        <v>65</v>
      </c>
      <c r="BX2" s="9" t="s">
        <v>64</v>
      </c>
      <c r="BY2" s="9" t="s">
        <v>63</v>
      </c>
      <c r="BZ2" s="9" t="s">
        <v>62</v>
      </c>
      <c r="CA2" s="9" t="s">
        <v>61</v>
      </c>
      <c r="CB2" s="9" t="s">
        <v>66</v>
      </c>
      <c r="CC2" s="9" t="s">
        <v>65</v>
      </c>
      <c r="CD2" s="9" t="s">
        <v>64</v>
      </c>
      <c r="CE2" s="9" t="s">
        <v>63</v>
      </c>
      <c r="CF2" s="9" t="s">
        <v>62</v>
      </c>
      <c r="CG2" s="9" t="s">
        <v>61</v>
      </c>
      <c r="CH2" s="9" t="s">
        <v>66</v>
      </c>
      <c r="CI2" s="9" t="s">
        <v>65</v>
      </c>
      <c r="CJ2" s="9" t="s">
        <v>64</v>
      </c>
      <c r="CK2" s="9" t="s">
        <v>63</v>
      </c>
      <c r="CL2" s="9" t="s">
        <v>62</v>
      </c>
      <c r="CM2" s="9" t="s">
        <v>61</v>
      </c>
      <c r="CN2" s="9" t="s">
        <v>66</v>
      </c>
      <c r="CO2" s="9" t="s">
        <v>65</v>
      </c>
      <c r="CP2" s="9" t="s">
        <v>64</v>
      </c>
      <c r="CQ2" s="9" t="s">
        <v>63</v>
      </c>
      <c r="CR2" s="9" t="s">
        <v>62</v>
      </c>
      <c r="CS2" s="9" t="s">
        <v>61</v>
      </c>
    </row>
    <row r="3" spans="1:97" x14ac:dyDescent="0.4">
      <c r="A3" s="9"/>
      <c r="B3" s="11">
        <v>2016</v>
      </c>
      <c r="C3" s="11">
        <v>2017</v>
      </c>
      <c r="D3" s="11">
        <v>2018</v>
      </c>
      <c r="E3" s="11">
        <v>2019</v>
      </c>
      <c r="F3" s="11">
        <v>2020</v>
      </c>
      <c r="G3" s="11">
        <v>2021</v>
      </c>
      <c r="H3" s="11">
        <v>2016</v>
      </c>
      <c r="I3" s="11">
        <v>2017</v>
      </c>
      <c r="J3" s="11">
        <v>2018</v>
      </c>
      <c r="K3" s="11">
        <v>2019</v>
      </c>
      <c r="L3" s="11">
        <v>2020</v>
      </c>
      <c r="M3" s="11">
        <v>2021</v>
      </c>
      <c r="N3" s="11">
        <v>2016</v>
      </c>
      <c r="O3" s="11">
        <v>2017</v>
      </c>
      <c r="P3" s="11">
        <v>2018</v>
      </c>
      <c r="Q3" s="11">
        <v>2019</v>
      </c>
      <c r="R3" s="11">
        <v>2020</v>
      </c>
      <c r="S3" s="11">
        <v>2021</v>
      </c>
      <c r="T3" s="11">
        <v>2016</v>
      </c>
      <c r="U3" s="11">
        <v>2017</v>
      </c>
      <c r="V3" s="11">
        <v>2018</v>
      </c>
      <c r="W3" s="11">
        <v>2019</v>
      </c>
      <c r="X3" s="11">
        <v>2020</v>
      </c>
      <c r="Y3" s="11">
        <v>2021</v>
      </c>
      <c r="Z3" s="11">
        <v>2016</v>
      </c>
      <c r="AA3" s="11">
        <v>2017</v>
      </c>
      <c r="AB3" s="11">
        <v>2018</v>
      </c>
      <c r="AC3" s="11">
        <v>2019</v>
      </c>
      <c r="AD3" s="11">
        <v>2020</v>
      </c>
      <c r="AE3" s="11">
        <v>2021</v>
      </c>
      <c r="AF3" s="11">
        <v>2016</v>
      </c>
      <c r="AG3" s="11">
        <v>2017</v>
      </c>
      <c r="AH3" s="11">
        <v>2018</v>
      </c>
      <c r="AI3" s="11">
        <v>2019</v>
      </c>
      <c r="AJ3" s="11">
        <v>2020</v>
      </c>
      <c r="AK3" s="11">
        <v>2021</v>
      </c>
      <c r="AL3" s="11">
        <v>2016</v>
      </c>
      <c r="AM3" s="11">
        <v>2017</v>
      </c>
      <c r="AN3" s="11">
        <v>2018</v>
      </c>
      <c r="AO3" s="11">
        <v>2019</v>
      </c>
      <c r="AP3" s="11">
        <v>2020</v>
      </c>
      <c r="AQ3" s="11">
        <v>2021</v>
      </c>
      <c r="AR3" s="11">
        <v>2016</v>
      </c>
      <c r="AS3" s="11">
        <v>2017</v>
      </c>
      <c r="AT3" s="11">
        <v>2018</v>
      </c>
      <c r="AU3" s="11">
        <v>2019</v>
      </c>
      <c r="AV3" s="11">
        <v>2020</v>
      </c>
      <c r="AW3" s="11">
        <v>2021</v>
      </c>
      <c r="AX3" s="11">
        <v>2016</v>
      </c>
      <c r="AY3" s="11">
        <v>2017</v>
      </c>
      <c r="AZ3" s="11">
        <v>2018</v>
      </c>
      <c r="BA3" s="11">
        <v>2019</v>
      </c>
      <c r="BB3" s="11">
        <v>2020</v>
      </c>
      <c r="BC3" s="11">
        <v>2021</v>
      </c>
      <c r="BD3" s="11">
        <v>2016</v>
      </c>
      <c r="BE3" s="11">
        <v>2017</v>
      </c>
      <c r="BF3" s="11">
        <v>2018</v>
      </c>
      <c r="BG3" s="11">
        <v>2019</v>
      </c>
      <c r="BH3" s="11">
        <v>2020</v>
      </c>
      <c r="BI3" s="11">
        <v>2021</v>
      </c>
      <c r="BJ3" s="11">
        <v>2016</v>
      </c>
      <c r="BK3" s="11">
        <v>2017</v>
      </c>
      <c r="BL3" s="11">
        <v>2018</v>
      </c>
      <c r="BM3" s="11">
        <v>2019</v>
      </c>
      <c r="BN3" s="11">
        <v>2020</v>
      </c>
      <c r="BO3" s="11">
        <v>2021</v>
      </c>
      <c r="BP3" s="11">
        <v>2016</v>
      </c>
      <c r="BQ3" s="11">
        <v>2017</v>
      </c>
      <c r="BR3" s="11">
        <v>2018</v>
      </c>
      <c r="BS3" s="11">
        <v>2019</v>
      </c>
      <c r="BT3" s="11">
        <v>2020</v>
      </c>
      <c r="BU3" s="11">
        <v>2021</v>
      </c>
      <c r="BV3" s="11">
        <v>2016</v>
      </c>
      <c r="BW3" s="11">
        <v>2017</v>
      </c>
      <c r="BX3" s="11">
        <v>2018</v>
      </c>
      <c r="BY3" s="11">
        <v>2019</v>
      </c>
      <c r="BZ3" s="11">
        <v>2020</v>
      </c>
      <c r="CA3" s="11">
        <v>2021</v>
      </c>
      <c r="CB3" s="11">
        <v>2016</v>
      </c>
      <c r="CC3" s="11">
        <v>2017</v>
      </c>
      <c r="CD3" s="11">
        <v>2018</v>
      </c>
      <c r="CE3" s="11">
        <v>2019</v>
      </c>
      <c r="CF3" s="11">
        <v>2020</v>
      </c>
      <c r="CG3" s="11">
        <v>2021</v>
      </c>
      <c r="CH3" s="11">
        <v>2016</v>
      </c>
      <c r="CI3" s="11">
        <v>2017</v>
      </c>
      <c r="CJ3" s="11">
        <v>2018</v>
      </c>
      <c r="CK3" s="11">
        <v>2019</v>
      </c>
      <c r="CL3" s="11">
        <v>2020</v>
      </c>
      <c r="CM3" s="11">
        <v>2021</v>
      </c>
      <c r="CN3" s="11">
        <v>2016</v>
      </c>
      <c r="CO3" s="11">
        <v>2017</v>
      </c>
      <c r="CP3" s="11">
        <v>2018</v>
      </c>
      <c r="CQ3" s="11">
        <v>2019</v>
      </c>
      <c r="CR3" s="11">
        <v>2020</v>
      </c>
      <c r="CS3" s="11">
        <v>2021</v>
      </c>
    </row>
    <row r="4" spans="1:97" x14ac:dyDescent="0.4">
      <c r="A4" s="9" t="s">
        <v>31</v>
      </c>
    </row>
    <row r="5" spans="1:97" x14ac:dyDescent="0.4">
      <c r="A5" s="10" t="s">
        <v>70</v>
      </c>
      <c r="B5">
        <v>17004835549.85</v>
      </c>
      <c r="C5">
        <v>22586717443.959999</v>
      </c>
      <c r="D5">
        <v>25864751845.279999</v>
      </c>
      <c r="E5">
        <v>31826113029.860001</v>
      </c>
      <c r="F5">
        <v>30387895334.700001</v>
      </c>
      <c r="G5">
        <v>28472355417.93</v>
      </c>
      <c r="H5">
        <v>14224209186.92</v>
      </c>
      <c r="I5">
        <v>19426889100.919998</v>
      </c>
      <c r="J5">
        <v>21507466196.990002</v>
      </c>
      <c r="K5">
        <v>27327116586.939999</v>
      </c>
      <c r="L5">
        <v>27301418227.77</v>
      </c>
      <c r="M5">
        <v>26235094850.689999</v>
      </c>
      <c r="N5">
        <v>2780626362.9299998</v>
      </c>
      <c r="O5">
        <v>3159828343.04</v>
      </c>
      <c r="P5">
        <v>4357285648.29</v>
      </c>
      <c r="Q5">
        <v>4498996442.9200001</v>
      </c>
      <c r="R5">
        <v>3086477106.9299998</v>
      </c>
      <c r="S5">
        <v>2237260567.2399998</v>
      </c>
      <c r="T5">
        <v>679623345.46000004</v>
      </c>
      <c r="U5">
        <v>2554401938.8499999</v>
      </c>
      <c r="V5">
        <v>2318493250.2600002</v>
      </c>
      <c r="W5">
        <v>0</v>
      </c>
      <c r="AC5">
        <v>3335025869.4099998</v>
      </c>
      <c r="AD5">
        <v>3713364358.9899998</v>
      </c>
      <c r="AE5">
        <v>2399157174.75</v>
      </c>
      <c r="AL5">
        <v>28334943.84</v>
      </c>
      <c r="AM5">
        <v>21674784.82</v>
      </c>
      <c r="AN5">
        <v>10448666.67</v>
      </c>
      <c r="AO5">
        <v>8245666.6699999999</v>
      </c>
      <c r="AP5">
        <v>5042666.67</v>
      </c>
      <c r="AQ5">
        <v>3275000</v>
      </c>
      <c r="AR5">
        <v>2045694808.6900001</v>
      </c>
      <c r="AS5">
        <v>2519423945.1999998</v>
      </c>
      <c r="AT5">
        <v>665949968.61000001</v>
      </c>
      <c r="AU5">
        <v>4629826631.8100004</v>
      </c>
      <c r="AV5">
        <v>4916500000</v>
      </c>
      <c r="AW5">
        <v>3730500000</v>
      </c>
      <c r="AX5">
        <v>447216069.29000002</v>
      </c>
      <c r="BA5">
        <v>0</v>
      </c>
      <c r="BD5">
        <v>2398323070.3099999</v>
      </c>
      <c r="BE5">
        <v>3019518316.4699998</v>
      </c>
      <c r="BF5">
        <v>6847020000</v>
      </c>
      <c r="BG5">
        <v>6269244000</v>
      </c>
      <c r="BH5">
        <v>5305783711.4899998</v>
      </c>
      <c r="BI5">
        <v>4694800000</v>
      </c>
      <c r="BJ5">
        <v>1478325014.0799999</v>
      </c>
      <c r="BK5">
        <v>1863756111.24</v>
      </c>
      <c r="BL5">
        <v>2437142061.5900002</v>
      </c>
      <c r="BM5">
        <v>1313703824.8099999</v>
      </c>
      <c r="BN5">
        <v>2026426631.8299999</v>
      </c>
      <c r="BO5">
        <v>4272830377.1799998</v>
      </c>
      <c r="BP5">
        <v>11960647187.27</v>
      </c>
      <c r="BQ5">
        <v>17454797991</v>
      </c>
      <c r="BR5">
        <v>19910884470.490002</v>
      </c>
      <c r="BS5">
        <v>25370869614.66</v>
      </c>
      <c r="BT5">
        <v>24328693277.009998</v>
      </c>
      <c r="BU5">
        <v>22146279452.330002</v>
      </c>
      <c r="BV5">
        <v>10159177784.4</v>
      </c>
      <c r="BW5">
        <v>15712893495.969999</v>
      </c>
      <c r="BX5">
        <v>20106942241.259998</v>
      </c>
      <c r="BY5">
        <v>22634927832.02</v>
      </c>
      <c r="BZ5">
        <v>22345065383.07</v>
      </c>
      <c r="CA5">
        <v>22473238698.200001</v>
      </c>
      <c r="CB5">
        <v>3689133424.9699998</v>
      </c>
      <c r="CC5">
        <v>4845273541.8599997</v>
      </c>
      <c r="CD5">
        <v>7462651840.5200005</v>
      </c>
      <c r="CE5">
        <v>6793411115.0299997</v>
      </c>
      <c r="CF5">
        <v>6238879961.4099998</v>
      </c>
      <c r="CG5">
        <v>4521905352.3999996</v>
      </c>
      <c r="CH5">
        <v>5198580037.1700001</v>
      </c>
      <c r="CI5">
        <v>7439201335.4799995</v>
      </c>
      <c r="CJ5">
        <v>7113582276.2799997</v>
      </c>
      <c r="CK5">
        <v>2908665689.5700002</v>
      </c>
      <c r="CL5">
        <v>1914047075.1600001</v>
      </c>
      <c r="CM5">
        <v>1866254125.96</v>
      </c>
      <c r="CQ5">
        <v>7981934459.2700005</v>
      </c>
      <c r="CR5">
        <v>8134964977.3699999</v>
      </c>
      <c r="CS5">
        <v>9043457996.5499992</v>
      </c>
    </row>
    <row r="6" spans="1:97" x14ac:dyDescent="0.4">
      <c r="A6" s="10" t="s">
        <v>71</v>
      </c>
      <c r="B6">
        <v>2372548499.96</v>
      </c>
      <c r="C6">
        <v>2482978929.4299998</v>
      </c>
      <c r="D6">
        <v>3509208885.5999999</v>
      </c>
      <c r="E6">
        <v>4230935377.9699998</v>
      </c>
      <c r="F6">
        <v>4480620888.3800001</v>
      </c>
      <c r="G6">
        <v>4810432071.9200001</v>
      </c>
      <c r="H6">
        <v>562046163.37</v>
      </c>
      <c r="I6">
        <v>760561750.83000004</v>
      </c>
      <c r="J6">
        <v>1692061653.3099999</v>
      </c>
      <c r="K6">
        <v>2231418916.8499999</v>
      </c>
      <c r="L6">
        <v>2391126572.8600001</v>
      </c>
      <c r="M6">
        <v>2504053852.6700001</v>
      </c>
      <c r="N6">
        <v>1810502336.5899999</v>
      </c>
      <c r="O6">
        <v>1724836749.04</v>
      </c>
      <c r="P6">
        <v>1817147232.29</v>
      </c>
      <c r="Q6">
        <v>1999516461.1199999</v>
      </c>
      <c r="R6">
        <v>2089494315.52</v>
      </c>
      <c r="S6">
        <v>2306378219.25</v>
      </c>
      <c r="T6">
        <v>32707869.52</v>
      </c>
      <c r="U6">
        <v>18738124.84</v>
      </c>
      <c r="V6">
        <v>52654798.68</v>
      </c>
      <c r="W6">
        <v>29759608.640000001</v>
      </c>
      <c r="X6">
        <v>27408</v>
      </c>
      <c r="AD6">
        <v>38342103.460000001</v>
      </c>
      <c r="AE6">
        <v>37012938.609999999</v>
      </c>
      <c r="AL6">
        <v>9262000</v>
      </c>
      <c r="AM6">
        <v>9980666.6699999999</v>
      </c>
      <c r="AN6">
        <v>7365575.7599999998</v>
      </c>
      <c r="AO6">
        <v>5250484.8499999996</v>
      </c>
      <c r="AP6">
        <v>4035393.94</v>
      </c>
      <c r="AQ6">
        <v>2820303.03</v>
      </c>
      <c r="AR6">
        <v>27300000</v>
      </c>
      <c r="AS6">
        <v>47300000</v>
      </c>
      <c r="AT6">
        <v>270000000</v>
      </c>
      <c r="AU6">
        <v>217431172</v>
      </c>
      <c r="AV6">
        <v>142528000</v>
      </c>
      <c r="AW6">
        <v>47115736.93</v>
      </c>
      <c r="BD6">
        <v>98326153.930000007</v>
      </c>
      <c r="BE6">
        <v>224415144.47</v>
      </c>
      <c r="BF6">
        <v>806375639.52999997</v>
      </c>
      <c r="BG6">
        <v>1075460204.1199999</v>
      </c>
      <c r="BH6">
        <v>752380567.33000004</v>
      </c>
      <c r="BI6">
        <v>512095569.31</v>
      </c>
      <c r="BL6">
        <v>47300000</v>
      </c>
      <c r="BM6">
        <v>30612849.32</v>
      </c>
      <c r="BN6">
        <v>20367219.34</v>
      </c>
      <c r="BO6">
        <v>121378185.61</v>
      </c>
      <c r="BP6">
        <v>1371181136.99</v>
      </c>
      <c r="BQ6">
        <v>1582707216.6400001</v>
      </c>
      <c r="BR6">
        <v>2265329172.75</v>
      </c>
      <c r="BS6">
        <v>2903858583.0500002</v>
      </c>
      <c r="BT6">
        <v>3396772900.8499999</v>
      </c>
      <c r="BU6">
        <v>3699488902.5300002</v>
      </c>
      <c r="BV6">
        <v>525484163.37</v>
      </c>
      <c r="BW6">
        <v>703281084.15999997</v>
      </c>
      <c r="BX6">
        <v>1411907333.03</v>
      </c>
      <c r="BY6">
        <v>1976258031.3399999</v>
      </c>
      <c r="BZ6">
        <v>2210014847.1399999</v>
      </c>
      <c r="CA6">
        <v>2392134461.6599998</v>
      </c>
      <c r="CB6">
        <v>402105270.17000002</v>
      </c>
      <c r="CC6">
        <v>375759900.11000001</v>
      </c>
      <c r="CD6">
        <v>704426213.29999995</v>
      </c>
      <c r="CE6">
        <v>595842636.64999998</v>
      </c>
      <c r="CF6">
        <v>1140048434.76</v>
      </c>
      <c r="CG6">
        <v>991623365.91999996</v>
      </c>
      <c r="CH6">
        <v>325947806.99000001</v>
      </c>
      <c r="CI6">
        <v>324104659.16000003</v>
      </c>
      <c r="CJ6">
        <v>348983794.41000003</v>
      </c>
      <c r="CK6">
        <v>395256226.58999997</v>
      </c>
      <c r="CL6">
        <v>713335682.25999999</v>
      </c>
      <c r="CM6">
        <v>454424458.43000001</v>
      </c>
    </row>
    <row r="7" spans="1:97" x14ac:dyDescent="0.4">
      <c r="A7" s="10" t="s">
        <v>72</v>
      </c>
      <c r="B7">
        <v>2077072626.48</v>
      </c>
      <c r="C7">
        <v>4294425161.4299998</v>
      </c>
      <c r="D7">
        <v>4792587424.0799999</v>
      </c>
      <c r="E7">
        <v>4595869566.4300003</v>
      </c>
      <c r="F7">
        <v>4582639733.5500002</v>
      </c>
      <c r="G7">
        <v>3320157641.1300001</v>
      </c>
      <c r="H7">
        <v>1170749134.3</v>
      </c>
      <c r="I7">
        <v>1960886192.27</v>
      </c>
      <c r="J7">
        <v>2373720088.0100002</v>
      </c>
      <c r="K7">
        <v>2846994231.79</v>
      </c>
      <c r="L7">
        <v>3327426155.6199999</v>
      </c>
      <c r="M7">
        <v>2283042200.8099999</v>
      </c>
      <c r="N7">
        <v>906323492.17999995</v>
      </c>
      <c r="O7">
        <v>2333538969.1599998</v>
      </c>
      <c r="P7">
        <v>2418867336.0700002</v>
      </c>
      <c r="Q7">
        <v>1748875334.6400001</v>
      </c>
      <c r="R7">
        <v>1255213577.9300001</v>
      </c>
      <c r="S7">
        <v>1037115440.3200001</v>
      </c>
      <c r="T7">
        <v>72286344.430000007</v>
      </c>
      <c r="U7">
        <v>165689730.75999999</v>
      </c>
      <c r="V7">
        <v>123177018.95999999</v>
      </c>
      <c r="W7">
        <v>188077874.13999999</v>
      </c>
      <c r="X7">
        <v>648193.76</v>
      </c>
      <c r="Y7">
        <v>205230.2</v>
      </c>
      <c r="AD7">
        <v>137374106.36000001</v>
      </c>
      <c r="AE7">
        <v>66047375.920000002</v>
      </c>
      <c r="AL7">
        <v>29169833.34</v>
      </c>
      <c r="AM7">
        <v>31540076.48</v>
      </c>
      <c r="AN7">
        <v>33404503.460000001</v>
      </c>
      <c r="AO7">
        <v>26684004.32</v>
      </c>
      <c r="AP7">
        <v>34833924.490000002</v>
      </c>
      <c r="AQ7">
        <v>28984781.420000002</v>
      </c>
      <c r="AS7">
        <v>146477451</v>
      </c>
      <c r="AT7">
        <v>438000000</v>
      </c>
      <c r="AU7">
        <v>575819674.79999995</v>
      </c>
      <c r="AV7">
        <v>1023043982.77</v>
      </c>
      <c r="AW7">
        <v>496234437.23000002</v>
      </c>
      <c r="BD7">
        <v>434000000</v>
      </c>
      <c r="BE7">
        <v>835600000</v>
      </c>
      <c r="BF7">
        <v>835730000</v>
      </c>
      <c r="BG7">
        <v>924391265.22000003</v>
      </c>
      <c r="BH7">
        <v>629350805.24000001</v>
      </c>
      <c r="BI7">
        <v>324416995.75999999</v>
      </c>
      <c r="BL7">
        <v>37000000</v>
      </c>
      <c r="BM7">
        <v>58018987.390000001</v>
      </c>
      <c r="BN7">
        <v>127202761.8</v>
      </c>
      <c r="BO7">
        <v>51672647.43</v>
      </c>
      <c r="BP7">
        <v>1313368497.8499999</v>
      </c>
      <c r="BQ7">
        <v>2343503899.0100002</v>
      </c>
      <c r="BR7">
        <v>2448314634.8600001</v>
      </c>
      <c r="BS7">
        <v>2620879171.29</v>
      </c>
      <c r="BT7">
        <v>2245809014.5</v>
      </c>
      <c r="BU7">
        <v>2209976039.8499999</v>
      </c>
      <c r="BV7">
        <v>1141579300.96</v>
      </c>
      <c r="BW7">
        <v>1781383343.3</v>
      </c>
      <c r="BX7">
        <v>1900919970.6800001</v>
      </c>
      <c r="BY7">
        <v>2009126105.98</v>
      </c>
      <c r="BZ7">
        <v>2053035905.21</v>
      </c>
      <c r="CA7">
        <v>1757654971.97</v>
      </c>
      <c r="CB7">
        <v>416472835.23000002</v>
      </c>
      <c r="CC7">
        <v>580509671.29999995</v>
      </c>
      <c r="CD7">
        <v>1803744960.3199999</v>
      </c>
      <c r="CE7">
        <v>1375948885.71</v>
      </c>
      <c r="CF7">
        <v>595671617.88</v>
      </c>
      <c r="CG7">
        <v>296861573.70999998</v>
      </c>
      <c r="CH7">
        <v>540237655.41999996</v>
      </c>
      <c r="CI7">
        <v>974255804.51999998</v>
      </c>
      <c r="CJ7">
        <v>87500364.829999998</v>
      </c>
      <c r="CK7">
        <v>128421031.5</v>
      </c>
      <c r="CL7">
        <v>40628954.840000004</v>
      </c>
      <c r="CM7">
        <v>52962097.920000002</v>
      </c>
      <c r="CR7">
        <v>565563983.01999998</v>
      </c>
      <c r="CS7">
        <v>208440798.59999999</v>
      </c>
    </row>
  </sheetData>
  <mergeCells count="16">
    <mergeCell ref="AF1:AK1"/>
    <mergeCell ref="B1:G1"/>
    <mergeCell ref="H1:M1"/>
    <mergeCell ref="N1:S1"/>
    <mergeCell ref="T1:Y1"/>
    <mergeCell ref="Z1:AE1"/>
    <mergeCell ref="BV1:CA1"/>
    <mergeCell ref="CB1:CG1"/>
    <mergeCell ref="CH1:CM1"/>
    <mergeCell ref="CN1:CS1"/>
    <mergeCell ref="AL1:AQ1"/>
    <mergeCell ref="AR1:AW1"/>
    <mergeCell ref="AX1:BC1"/>
    <mergeCell ref="BD1:BI1"/>
    <mergeCell ref="BJ1:BO1"/>
    <mergeCell ref="BP1:BU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EB5C-9C8D-4060-8D4C-7535FD358322}">
  <dimension ref="A1:AQ7"/>
  <sheetViews>
    <sheetView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AL3" sqref="AL3:AQ3"/>
    </sheetView>
  </sheetViews>
  <sheetFormatPr defaultColWidth="13.06640625" defaultRowHeight="13.9" x14ac:dyDescent="0.4"/>
  <sheetData>
    <row r="1" spans="1:43" x14ac:dyDescent="0.4">
      <c r="A1" s="9"/>
      <c r="B1" s="35" t="s">
        <v>47</v>
      </c>
      <c r="C1" s="35"/>
      <c r="D1" s="35"/>
      <c r="E1" s="35"/>
      <c r="F1" s="35"/>
      <c r="G1" s="35"/>
      <c r="H1" s="35" t="s">
        <v>48</v>
      </c>
      <c r="I1" s="35"/>
      <c r="J1" s="35"/>
      <c r="K1" s="35"/>
      <c r="L1" s="35"/>
      <c r="M1" s="35"/>
      <c r="N1" s="35" t="s">
        <v>59</v>
      </c>
      <c r="O1" s="35"/>
      <c r="P1" s="35"/>
      <c r="Q1" s="35"/>
      <c r="R1" s="35"/>
      <c r="S1" s="35"/>
      <c r="T1" s="35" t="s">
        <v>49</v>
      </c>
      <c r="U1" s="35"/>
      <c r="V1" s="35"/>
      <c r="W1" s="35"/>
      <c r="X1" s="35"/>
      <c r="Y1" s="35"/>
      <c r="Z1" s="35" t="s">
        <v>50</v>
      </c>
      <c r="AA1" s="35"/>
      <c r="AB1" s="35"/>
      <c r="AC1" s="35"/>
      <c r="AD1" s="35"/>
      <c r="AE1" s="35"/>
      <c r="AF1" s="35" t="s">
        <v>51</v>
      </c>
      <c r="AG1" s="35"/>
      <c r="AH1" s="35"/>
      <c r="AI1" s="35"/>
      <c r="AJ1" s="35"/>
      <c r="AK1" s="35"/>
      <c r="AL1" s="35" t="s">
        <v>52</v>
      </c>
      <c r="AM1" s="35"/>
      <c r="AN1" s="35"/>
      <c r="AO1" s="35"/>
      <c r="AP1" s="35"/>
      <c r="AQ1" s="35"/>
    </row>
    <row r="2" spans="1:43" x14ac:dyDescent="0.4">
      <c r="A2" s="9" t="s">
        <v>46</v>
      </c>
      <c r="B2" s="9" t="s">
        <v>66</v>
      </c>
      <c r="C2" s="9" t="s">
        <v>65</v>
      </c>
      <c r="D2" s="9" t="s">
        <v>64</v>
      </c>
      <c r="E2" s="9" t="s">
        <v>63</v>
      </c>
      <c r="F2" s="9" t="s">
        <v>62</v>
      </c>
      <c r="G2" s="9" t="s">
        <v>61</v>
      </c>
      <c r="H2" s="9" t="s">
        <v>66</v>
      </c>
      <c r="I2" s="9" t="s">
        <v>65</v>
      </c>
      <c r="J2" s="9" t="s">
        <v>64</v>
      </c>
      <c r="K2" s="9" t="s">
        <v>63</v>
      </c>
      <c r="L2" s="9" t="s">
        <v>62</v>
      </c>
      <c r="M2" s="9" t="s">
        <v>61</v>
      </c>
      <c r="N2" s="9" t="s">
        <v>66</v>
      </c>
      <c r="O2" s="9" t="s">
        <v>65</v>
      </c>
      <c r="P2" s="9" t="s">
        <v>64</v>
      </c>
      <c r="Q2" s="9" t="s">
        <v>63</v>
      </c>
      <c r="R2" s="9" t="s">
        <v>62</v>
      </c>
      <c r="S2" s="9" t="s">
        <v>61</v>
      </c>
      <c r="T2" s="9" t="s">
        <v>66</v>
      </c>
      <c r="U2" s="9" t="s">
        <v>65</v>
      </c>
      <c r="V2" s="9" t="s">
        <v>64</v>
      </c>
      <c r="W2" s="9" t="s">
        <v>63</v>
      </c>
      <c r="X2" s="9" t="s">
        <v>62</v>
      </c>
      <c r="Y2" s="9" t="s">
        <v>61</v>
      </c>
      <c r="Z2" s="9" t="s">
        <v>66</v>
      </c>
      <c r="AA2" s="9" t="s">
        <v>65</v>
      </c>
      <c r="AB2" s="9" t="s">
        <v>64</v>
      </c>
      <c r="AC2" s="9" t="s">
        <v>63</v>
      </c>
      <c r="AD2" s="9" t="s">
        <v>62</v>
      </c>
      <c r="AE2" s="9" t="s">
        <v>61</v>
      </c>
      <c r="AF2" s="9" t="s">
        <v>66</v>
      </c>
      <c r="AG2" s="9" t="s">
        <v>65</v>
      </c>
      <c r="AH2" s="9" t="s">
        <v>64</v>
      </c>
      <c r="AI2" s="9" t="s">
        <v>63</v>
      </c>
      <c r="AJ2" s="9" t="s">
        <v>62</v>
      </c>
      <c r="AK2" s="9" t="s">
        <v>61</v>
      </c>
      <c r="AL2" s="9" t="s">
        <v>66</v>
      </c>
      <c r="AM2" s="9" t="s">
        <v>65</v>
      </c>
      <c r="AN2" s="9" t="s">
        <v>64</v>
      </c>
      <c r="AO2" s="9" t="s">
        <v>63</v>
      </c>
      <c r="AP2" s="9" t="s">
        <v>62</v>
      </c>
      <c r="AQ2" s="9" t="s">
        <v>61</v>
      </c>
    </row>
    <row r="3" spans="1:43" x14ac:dyDescent="0.4">
      <c r="A3" s="9"/>
      <c r="B3" s="11">
        <v>2016</v>
      </c>
      <c r="C3" s="11">
        <v>2017</v>
      </c>
      <c r="D3" s="11">
        <v>2018</v>
      </c>
      <c r="E3" s="11">
        <v>2019</v>
      </c>
      <c r="F3" s="11">
        <v>2020</v>
      </c>
      <c r="G3" s="11">
        <v>2021</v>
      </c>
      <c r="H3" s="11">
        <v>2016</v>
      </c>
      <c r="I3" s="11">
        <v>2017</v>
      </c>
      <c r="J3" s="11">
        <v>2018</v>
      </c>
      <c r="K3" s="11">
        <v>2019</v>
      </c>
      <c r="L3" s="11">
        <v>2020</v>
      </c>
      <c r="M3" s="11">
        <v>2021</v>
      </c>
      <c r="N3" s="11">
        <v>2016</v>
      </c>
      <c r="O3" s="11">
        <v>2017</v>
      </c>
      <c r="P3" s="11">
        <v>2018</v>
      </c>
      <c r="Q3" s="11">
        <v>2019</v>
      </c>
      <c r="R3" s="11">
        <v>2020</v>
      </c>
      <c r="S3" s="11">
        <v>2021</v>
      </c>
      <c r="T3" s="11">
        <v>2016</v>
      </c>
      <c r="U3" s="11">
        <v>2017</v>
      </c>
      <c r="V3" s="11">
        <v>2018</v>
      </c>
      <c r="W3" s="11">
        <v>2019</v>
      </c>
      <c r="X3" s="11">
        <v>2020</v>
      </c>
      <c r="Y3" s="11">
        <v>2021</v>
      </c>
      <c r="Z3" s="11">
        <v>2016</v>
      </c>
      <c r="AA3" s="11">
        <v>2017</v>
      </c>
      <c r="AB3" s="11">
        <v>2018</v>
      </c>
      <c r="AC3" s="11">
        <v>2019</v>
      </c>
      <c r="AD3" s="11">
        <v>2020</v>
      </c>
      <c r="AE3" s="11">
        <v>2021</v>
      </c>
      <c r="AF3" s="11">
        <v>2016</v>
      </c>
      <c r="AG3" s="11">
        <v>2017</v>
      </c>
      <c r="AH3" s="11">
        <v>2018</v>
      </c>
      <c r="AI3" s="11">
        <v>2019</v>
      </c>
      <c r="AJ3" s="11">
        <v>2020</v>
      </c>
      <c r="AK3" s="11">
        <v>2021</v>
      </c>
      <c r="AL3" s="11">
        <v>2016</v>
      </c>
      <c r="AM3" s="11">
        <v>2017</v>
      </c>
      <c r="AN3" s="11">
        <v>2018</v>
      </c>
      <c r="AO3" s="11">
        <v>2019</v>
      </c>
      <c r="AP3" s="11">
        <v>2020</v>
      </c>
      <c r="AQ3" s="11">
        <v>2021</v>
      </c>
    </row>
    <row r="4" spans="1:43" x14ac:dyDescent="0.4">
      <c r="A4" s="9" t="s">
        <v>31</v>
      </c>
    </row>
    <row r="5" spans="1:43" ht="14.25" x14ac:dyDescent="0.4">
      <c r="A5" s="33" t="s">
        <v>70</v>
      </c>
      <c r="B5" s="32">
        <v>1195145239.0599999</v>
      </c>
      <c r="C5" s="32">
        <v>10403683552.02</v>
      </c>
      <c r="D5" s="32">
        <v>7700163469.1099997</v>
      </c>
      <c r="E5" s="32">
        <v>10779197063.450001</v>
      </c>
      <c r="F5" s="32">
        <v>7712473560.2299995</v>
      </c>
      <c r="G5" s="32">
        <v>6806791172.1499996</v>
      </c>
      <c r="H5" s="32">
        <v>979838375.11000001</v>
      </c>
      <c r="I5" s="32">
        <v>9281399493.1000004</v>
      </c>
      <c r="J5" s="32">
        <v>6558209775.9300003</v>
      </c>
      <c r="K5" s="32">
        <v>9280060579.7199993</v>
      </c>
      <c r="L5" s="32">
        <v>7689615630.4300003</v>
      </c>
      <c r="M5" s="32">
        <v>5670633675.9799995</v>
      </c>
      <c r="N5" s="32">
        <v>20190136.079999998</v>
      </c>
      <c r="O5" s="32">
        <v>36205191.82</v>
      </c>
      <c r="P5" s="32">
        <v>26398820.23</v>
      </c>
      <c r="Q5" s="32">
        <v>31703523.359999999</v>
      </c>
      <c r="R5" s="32">
        <v>31857634.120000001</v>
      </c>
      <c r="S5" s="32">
        <v>30964086.73</v>
      </c>
      <c r="T5" s="32">
        <v>39772376.07</v>
      </c>
      <c r="U5" s="32">
        <v>89749951.890000001</v>
      </c>
      <c r="V5" s="32">
        <v>57561291.119999997</v>
      </c>
      <c r="W5" s="32">
        <v>67563387.939999998</v>
      </c>
      <c r="X5" s="32">
        <v>44459026.090000004</v>
      </c>
      <c r="Y5" s="32">
        <v>45204393.68</v>
      </c>
      <c r="Z5" s="32">
        <v>232825511.12</v>
      </c>
      <c r="AA5" s="32">
        <v>321377260.93000001</v>
      </c>
      <c r="AB5" s="32">
        <v>276204029.08999997</v>
      </c>
      <c r="AC5" s="32">
        <v>256510673.21000001</v>
      </c>
      <c r="AD5" s="32">
        <v>227017372.21000001</v>
      </c>
      <c r="AE5" s="32">
        <v>197147007.75</v>
      </c>
      <c r="AF5" s="32" t="s">
        <v>69</v>
      </c>
      <c r="AG5" s="32" t="s">
        <v>69</v>
      </c>
      <c r="AH5" s="32">
        <v>80886177.75</v>
      </c>
      <c r="AI5" s="32">
        <v>100327316.06</v>
      </c>
      <c r="AJ5" s="32">
        <v>284922507.68000001</v>
      </c>
      <c r="AK5" s="32">
        <v>242771382.91</v>
      </c>
      <c r="AL5" s="32">
        <v>-305895858.57999998</v>
      </c>
      <c r="AM5" s="32">
        <v>320516629.06999999</v>
      </c>
      <c r="AN5" s="32">
        <v>185488125.09</v>
      </c>
      <c r="AO5" s="32">
        <v>138840244.77000001</v>
      </c>
      <c r="AP5" s="32">
        <v>-1401920490.74</v>
      </c>
      <c r="AQ5" s="32">
        <v>-823243480.92999995</v>
      </c>
    </row>
    <row r="6" spans="1:43" ht="14.25" x14ac:dyDescent="0.4">
      <c r="A6" s="33" t="s">
        <v>71</v>
      </c>
      <c r="B6" s="32">
        <v>2928383508.27</v>
      </c>
      <c r="C6" s="32">
        <v>3394989818.79</v>
      </c>
      <c r="D6" s="32">
        <v>3355078356.9899998</v>
      </c>
      <c r="E6" s="32">
        <v>3337661961.6799998</v>
      </c>
      <c r="F6" s="32">
        <v>5645523010.2299995</v>
      </c>
      <c r="G6" s="32">
        <v>5379903593.4099998</v>
      </c>
      <c r="H6" s="32">
        <v>2490502112.9200001</v>
      </c>
      <c r="I6" s="32">
        <v>2934248061.2800002</v>
      </c>
      <c r="J6" s="32">
        <v>2817608530.4499998</v>
      </c>
      <c r="K6" s="32">
        <v>2805585979.96</v>
      </c>
      <c r="L6" s="32">
        <v>5167729376.29</v>
      </c>
      <c r="M6" s="32">
        <v>4835965013.8599997</v>
      </c>
      <c r="N6" s="32">
        <v>11977186.18</v>
      </c>
      <c r="O6" s="32">
        <v>15715394.73</v>
      </c>
      <c r="P6" s="32">
        <v>13365955.970000001</v>
      </c>
      <c r="Q6" s="32">
        <v>13598068.949999999</v>
      </c>
      <c r="R6" s="32">
        <v>14084443.73</v>
      </c>
      <c r="S6" s="32">
        <v>16036144.470000001</v>
      </c>
      <c r="T6" s="32">
        <v>143767745.13</v>
      </c>
      <c r="U6" s="32">
        <v>156488036.12</v>
      </c>
      <c r="V6" s="32">
        <v>182983599.16</v>
      </c>
      <c r="W6" s="32">
        <v>183125153.00999999</v>
      </c>
      <c r="X6" s="32">
        <v>120167264.16</v>
      </c>
      <c r="Y6" s="32">
        <v>108632232.14</v>
      </c>
      <c r="Z6" s="32">
        <v>168345513.25</v>
      </c>
      <c r="AA6" s="32">
        <v>189164212.53999999</v>
      </c>
      <c r="AB6" s="32">
        <v>126752019.36</v>
      </c>
      <c r="AC6" s="32">
        <v>121310602.69</v>
      </c>
      <c r="AD6" s="32">
        <v>131301050.33</v>
      </c>
      <c r="AE6" s="32">
        <v>132128154.54000001</v>
      </c>
      <c r="AF6" s="32" t="s">
        <v>69</v>
      </c>
      <c r="AG6" s="32" t="s">
        <v>69</v>
      </c>
      <c r="AH6" s="32">
        <v>81745372.659999996</v>
      </c>
      <c r="AI6" s="32">
        <v>87580449.560000002</v>
      </c>
      <c r="AJ6" s="32">
        <v>102719157.81</v>
      </c>
      <c r="AK6" s="32">
        <v>118968565.66</v>
      </c>
      <c r="AL6" s="32">
        <v>90658053.609999999</v>
      </c>
      <c r="AM6" s="32">
        <v>84969400</v>
      </c>
      <c r="AN6" s="32">
        <v>63267753.990000002</v>
      </c>
      <c r="AO6" s="32">
        <v>34818625.509999998</v>
      </c>
      <c r="AP6" s="32">
        <v>65002427.700000003</v>
      </c>
      <c r="AQ6" s="32">
        <v>201119800.25</v>
      </c>
    </row>
    <row r="7" spans="1:43" ht="14.25" x14ac:dyDescent="0.4">
      <c r="A7" s="33" t="s">
        <v>72</v>
      </c>
      <c r="B7" s="32">
        <v>1002014202.1900001</v>
      </c>
      <c r="C7" s="32">
        <v>1498494144.8800001</v>
      </c>
      <c r="D7" s="32">
        <v>1295070827.1099999</v>
      </c>
      <c r="E7" s="32">
        <v>1255032656.5699999</v>
      </c>
      <c r="F7" s="32">
        <v>1355424027.1600001</v>
      </c>
      <c r="G7" s="32">
        <v>1032394738.7</v>
      </c>
      <c r="H7" s="32">
        <v>830466442.37</v>
      </c>
      <c r="I7" s="32">
        <v>1122250452.6500001</v>
      </c>
      <c r="J7" s="32">
        <v>826813077.42999995</v>
      </c>
      <c r="K7" s="32">
        <v>880398673.92999995</v>
      </c>
      <c r="L7" s="32">
        <v>914224007.32000005</v>
      </c>
      <c r="M7" s="32">
        <v>810689315.88999999</v>
      </c>
      <c r="N7" s="32">
        <v>3063132.95</v>
      </c>
      <c r="O7" s="32">
        <v>3876136.09</v>
      </c>
      <c r="P7" s="32">
        <v>4830112.1500000004</v>
      </c>
      <c r="Q7" s="32">
        <v>4280898.5599999996</v>
      </c>
      <c r="R7" s="32">
        <v>3457894.04</v>
      </c>
      <c r="S7" s="32">
        <v>5411206.75</v>
      </c>
      <c r="T7" s="32">
        <v>27483895</v>
      </c>
      <c r="U7" s="32">
        <v>40931403.18</v>
      </c>
      <c r="V7" s="32">
        <v>33840930.979999997</v>
      </c>
      <c r="W7" s="32">
        <v>63636562.640000001</v>
      </c>
      <c r="X7" s="32">
        <v>137394890.94</v>
      </c>
      <c r="Y7" s="32">
        <v>64997505.82</v>
      </c>
      <c r="Z7" s="32">
        <v>79943662.549999997</v>
      </c>
      <c r="AA7" s="32">
        <v>129505251.40000001</v>
      </c>
      <c r="AB7" s="32">
        <v>149671688.56</v>
      </c>
      <c r="AC7" s="32">
        <v>144560155.19</v>
      </c>
      <c r="AD7" s="32">
        <v>144597341.94</v>
      </c>
      <c r="AE7" s="32">
        <v>139310699.53</v>
      </c>
      <c r="AF7" s="32" t="s">
        <v>69</v>
      </c>
      <c r="AG7" s="32" t="s">
        <v>69</v>
      </c>
      <c r="AH7" s="32" t="s">
        <v>69</v>
      </c>
      <c r="AI7" s="32">
        <v>61738522.329999998</v>
      </c>
      <c r="AJ7" s="32">
        <v>70712769.269999996</v>
      </c>
      <c r="AK7" s="32">
        <v>82124952.939999998</v>
      </c>
      <c r="AL7" s="32">
        <v>102727791.90000001</v>
      </c>
      <c r="AM7" s="32">
        <v>180373500.81</v>
      </c>
      <c r="AN7" s="32">
        <v>99185265.810000002</v>
      </c>
      <c r="AO7" s="32">
        <v>-484349764.48000002</v>
      </c>
      <c r="AP7" s="32">
        <v>-429188709.51999998</v>
      </c>
      <c r="AQ7" s="32">
        <v>-354867011.33999997</v>
      </c>
    </row>
  </sheetData>
  <mergeCells count="7">
    <mergeCell ref="AL1:AQ1"/>
    <mergeCell ref="B1:G1"/>
    <mergeCell ref="H1:M1"/>
    <mergeCell ref="N1:S1"/>
    <mergeCell ref="T1:Y1"/>
    <mergeCell ref="Z1:AE1"/>
    <mergeCell ref="AF1:AK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D97E-4119-43AA-A9F0-26B99410B643}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:G3"/>
    </sheetView>
  </sheetViews>
  <sheetFormatPr defaultRowHeight="13.9" x14ac:dyDescent="0.4"/>
  <sheetData>
    <row r="1" spans="1:7" x14ac:dyDescent="0.4">
      <c r="A1" s="9"/>
      <c r="B1" s="35" t="s">
        <v>53</v>
      </c>
      <c r="C1" s="35"/>
      <c r="D1" s="35"/>
      <c r="E1" s="35"/>
      <c r="F1" s="35"/>
      <c r="G1" s="35"/>
    </row>
    <row r="2" spans="1:7" x14ac:dyDescent="0.4">
      <c r="A2" s="9" t="s">
        <v>46</v>
      </c>
      <c r="B2" s="9" t="s">
        <v>66</v>
      </c>
      <c r="C2" s="9" t="s">
        <v>65</v>
      </c>
      <c r="D2" s="9" t="s">
        <v>64</v>
      </c>
      <c r="E2" s="9" t="s">
        <v>63</v>
      </c>
      <c r="F2" s="9" t="s">
        <v>62</v>
      </c>
      <c r="G2" s="9" t="s">
        <v>61</v>
      </c>
    </row>
    <row r="3" spans="1:7" x14ac:dyDescent="0.4">
      <c r="A3" s="9"/>
      <c r="B3" s="11">
        <v>2016</v>
      </c>
      <c r="C3" s="11">
        <v>2017</v>
      </c>
      <c r="D3" s="11">
        <v>2018</v>
      </c>
      <c r="E3" s="11">
        <v>2019</v>
      </c>
      <c r="F3" s="11">
        <v>2020</v>
      </c>
      <c r="G3" s="11">
        <v>2021</v>
      </c>
    </row>
    <row r="4" spans="1:7" x14ac:dyDescent="0.4">
      <c r="A4" s="9" t="s">
        <v>31</v>
      </c>
    </row>
    <row r="5" spans="1:7" x14ac:dyDescent="0.4">
      <c r="A5" s="10" t="s">
        <v>70</v>
      </c>
      <c r="B5">
        <v>266619897.15000001</v>
      </c>
      <c r="C5">
        <v>-509572371.56</v>
      </c>
      <c r="D5">
        <v>-2306825649.2800002</v>
      </c>
      <c r="E5">
        <v>208064966.97</v>
      </c>
      <c r="F5">
        <v>49152731.310000002</v>
      </c>
      <c r="G5">
        <v>-615484148.16999996</v>
      </c>
    </row>
    <row r="6" spans="1:7" x14ac:dyDescent="0.4">
      <c r="A6" s="10" t="s">
        <v>71</v>
      </c>
      <c r="B6">
        <v>11002035.869999999</v>
      </c>
      <c r="C6">
        <v>-19245071.289999999</v>
      </c>
      <c r="D6">
        <v>-97102373.409999996</v>
      </c>
      <c r="E6">
        <v>95892729.310000002</v>
      </c>
      <c r="F6">
        <v>44571222.049999997</v>
      </c>
      <c r="G6">
        <v>346617647.91000003</v>
      </c>
    </row>
    <row r="7" spans="1:7" x14ac:dyDescent="0.4">
      <c r="A7" s="10" t="s">
        <v>72</v>
      </c>
      <c r="B7">
        <v>-79988567.75</v>
      </c>
      <c r="C7">
        <v>-339031559.89999998</v>
      </c>
      <c r="D7">
        <v>39212720.200000003</v>
      </c>
      <c r="E7">
        <v>363186134.67000002</v>
      </c>
      <c r="F7">
        <v>24689960.460000001</v>
      </c>
      <c r="G7">
        <v>408412286.06999999</v>
      </c>
    </row>
  </sheetData>
  <mergeCells count="1">
    <mergeCell ref="B1:G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963C-F64E-40EA-BCC8-C2D8AF4E0427}">
  <sheetPr>
    <tabColor rgb="FFC00000"/>
  </sheetPr>
  <dimension ref="A1:F17"/>
  <sheetViews>
    <sheetView zoomScale="70" zoomScaleNormal="70" workbookViewId="0">
      <selection activeCell="F17" sqref="A1:F17"/>
    </sheetView>
  </sheetViews>
  <sheetFormatPr defaultColWidth="8.6640625" defaultRowHeight="13.9" x14ac:dyDescent="0.4"/>
  <cols>
    <col min="1" max="1" width="61.3984375" style="12" customWidth="1"/>
    <col min="2" max="6" width="14.46484375" style="12" customWidth="1"/>
    <col min="7" max="16384" width="8.6640625" style="12"/>
  </cols>
  <sheetData>
    <row r="1" spans="1:6" ht="22.5" x14ac:dyDescent="0.6">
      <c r="A1" s="34" t="s">
        <v>73</v>
      </c>
      <c r="B1" s="16">
        <v>2018</v>
      </c>
      <c r="C1" s="16">
        <v>2019</v>
      </c>
      <c r="D1" s="16">
        <v>2020</v>
      </c>
      <c r="E1" s="16">
        <v>2021</v>
      </c>
      <c r="F1" s="16">
        <v>2022</v>
      </c>
    </row>
    <row r="2" spans="1:6" ht="30" customHeight="1" x14ac:dyDescent="0.4">
      <c r="A2" s="15" t="s">
        <v>57</v>
      </c>
      <c r="B2" s="16" t="s">
        <v>65</v>
      </c>
      <c r="C2" s="16" t="s">
        <v>64</v>
      </c>
      <c r="D2" s="16" t="s">
        <v>63</v>
      </c>
      <c r="E2" s="16" t="s">
        <v>62</v>
      </c>
      <c r="F2" s="16" t="s">
        <v>61</v>
      </c>
    </row>
    <row r="3" spans="1:6" ht="30" customHeight="1" x14ac:dyDescent="0.4">
      <c r="A3" s="17" t="s">
        <v>76</v>
      </c>
      <c r="B3" s="18">
        <f>is!AM5/((bs!N5+bs!O5)/2)</f>
        <v>0.10790979644971935</v>
      </c>
      <c r="C3" s="18">
        <f>is!AN5/((bs!O5+bs!P5)/2)</f>
        <v>4.9350887934900577E-2</v>
      </c>
      <c r="D3" s="18">
        <f>is!AO5/((bs!P5+bs!Q5)/2)</f>
        <v>3.1354070103029159E-2</v>
      </c>
      <c r="E3" s="18">
        <f>is!AP5/((bs!Q5+bs!R5)/2)</f>
        <v>-0.36963295212273789</v>
      </c>
      <c r="F3" s="18">
        <f>is!AQ5/((bs!R5+bs!S5)/2)</f>
        <v>-0.3092727445697625</v>
      </c>
    </row>
    <row r="4" spans="1:6" ht="30" customHeight="1" x14ac:dyDescent="0.4">
      <c r="A4" s="17" t="s">
        <v>75</v>
      </c>
      <c r="B4" s="18">
        <f>is!AM6/((bs!N6+bs!O6)/2)</f>
        <v>4.8068599894914119E-2</v>
      </c>
      <c r="C4" s="18">
        <f>is!AN6/((bs!O6+bs!P6)/2)</f>
        <v>3.5724472117032689E-2</v>
      </c>
      <c r="D4" s="18">
        <f>is!AO6/((bs!P6+bs!Q6)/2)</f>
        <v>1.8245582166497507E-2</v>
      </c>
      <c r="E4" s="18">
        <f>is!AP6/((bs!Q6+bs!R6)/2)</f>
        <v>3.1793717967852096E-2</v>
      </c>
      <c r="F4" s="18">
        <f>is!AQ6/((bs!R6+bs!S6)/2)</f>
        <v>9.1503927222276904E-2</v>
      </c>
    </row>
    <row r="5" spans="1:6" ht="30" customHeight="1" x14ac:dyDescent="0.4">
      <c r="A5" s="17" t="s">
        <v>74</v>
      </c>
      <c r="B5" s="18">
        <f>is!AM7/((bs!N7+bs!O7)/2)</f>
        <v>0.11134639384376702</v>
      </c>
      <c r="C5" s="18">
        <f>is!AN7/((bs!O7+bs!P7)/2)</f>
        <v>4.174107154973139E-2</v>
      </c>
      <c r="D5" s="18">
        <f>is!AO7/((bs!P7+bs!Q7)/2)</f>
        <v>-0.23242786455310982</v>
      </c>
      <c r="E5" s="18">
        <f>is!AP7/((bs!Q7+bs!R7)/2)</f>
        <v>-0.28573635602072028</v>
      </c>
      <c r="F5" s="18">
        <f>is!AQ7/((bs!R7+bs!S7)/2)</f>
        <v>-0.30961263284178203</v>
      </c>
    </row>
    <row r="6" spans="1:6" ht="30" customHeight="1" x14ac:dyDescent="0.4">
      <c r="A6" s="15" t="s">
        <v>54</v>
      </c>
      <c r="B6" s="16" t="s">
        <v>65</v>
      </c>
      <c r="C6" s="16" t="s">
        <v>64</v>
      </c>
      <c r="D6" s="16" t="s">
        <v>63</v>
      </c>
      <c r="E6" s="16" t="s">
        <v>62</v>
      </c>
      <c r="F6" s="16" t="s">
        <v>61</v>
      </c>
    </row>
    <row r="7" spans="1:6" ht="30" customHeight="1" x14ac:dyDescent="0.4">
      <c r="A7" s="17" t="s">
        <v>76</v>
      </c>
      <c r="B7" s="18">
        <f>is!AM5/is!C5</f>
        <v>3.0807994828693903E-2</v>
      </c>
      <c r="C7" s="18">
        <f>is!AN5/is!D5</f>
        <v>2.4088855494315772E-2</v>
      </c>
      <c r="D7" s="18">
        <f>is!AO5/is!E5</f>
        <v>1.288038839560492E-2</v>
      </c>
      <c r="E7" s="18">
        <f>is!AP5/is!F5</f>
        <v>-0.18177313410435761</v>
      </c>
      <c r="F7" s="18">
        <f>is!AQ5/is!G5</f>
        <v>-0.12094443036511865</v>
      </c>
    </row>
    <row r="8" spans="1:6" ht="30" customHeight="1" x14ac:dyDescent="0.4">
      <c r="A8" s="17" t="s">
        <v>75</v>
      </c>
      <c r="B8" s="18">
        <f>is!AM6/is!C6</f>
        <v>2.5027880652167534E-2</v>
      </c>
      <c r="C8" s="18">
        <f>is!AN6/is!D6</f>
        <v>1.8857310398783207E-2</v>
      </c>
      <c r="D8" s="18">
        <f>is!AO6/is!E6</f>
        <v>1.0432040724841461E-2</v>
      </c>
      <c r="E8" s="18">
        <f>is!AP6/is!F6</f>
        <v>1.1513977993219054E-2</v>
      </c>
      <c r="F8" s="18">
        <f>is!AQ6/is!G6</f>
        <v>3.7383532391985143E-2</v>
      </c>
    </row>
    <row r="9" spans="1:6" ht="30" customHeight="1" x14ac:dyDescent="0.4">
      <c r="A9" s="17" t="s">
        <v>74</v>
      </c>
      <c r="B9" s="18">
        <f>is!AM7/is!C7</f>
        <v>0.12036984023347276</v>
      </c>
      <c r="C9" s="18">
        <f>is!AN7/is!D7</f>
        <v>7.6586750109517737E-2</v>
      </c>
      <c r="D9" s="18">
        <f>is!AO7/is!E7</f>
        <v>-0.38592602506752799</v>
      </c>
      <c r="E9" s="18">
        <f>is!AP7/is!F7</f>
        <v>-0.31664534560396773</v>
      </c>
      <c r="F9" s="18">
        <f>is!AQ7/is!G7</f>
        <v>-0.34373190606032283</v>
      </c>
    </row>
    <row r="10" spans="1:6" ht="30" customHeight="1" x14ac:dyDescent="0.4">
      <c r="A10" s="15" t="s">
        <v>55</v>
      </c>
      <c r="B10" s="16" t="s">
        <v>65</v>
      </c>
      <c r="C10" s="16" t="s">
        <v>64</v>
      </c>
      <c r="D10" s="16" t="s">
        <v>63</v>
      </c>
      <c r="E10" s="16" t="s">
        <v>62</v>
      </c>
      <c r="F10" s="16" t="s">
        <v>61</v>
      </c>
    </row>
    <row r="11" spans="1:6" ht="30" customHeight="1" x14ac:dyDescent="0.4">
      <c r="A11" s="17" t="s">
        <v>76</v>
      </c>
      <c r="B11" s="18">
        <f>is!C5/((bs!B5+bs!C5)/2)</f>
        <v>0.52555066751973989</v>
      </c>
      <c r="C11" s="18">
        <f>is!D5/((bs!C5+bs!D5)/2)</f>
        <v>0.31785056602277428</v>
      </c>
      <c r="D11" s="18">
        <f>is!E5/((bs!D5+bs!E5)/2)</f>
        <v>0.37368817703736473</v>
      </c>
      <c r="E11" s="18">
        <f>is!F5/((bs!E5+bs!F5)/2)</f>
        <v>0.24793366519760796</v>
      </c>
      <c r="F11" s="18">
        <f>is!G5/((bs!F5+bs!G5)/2)</f>
        <v>0.2312865162860645</v>
      </c>
    </row>
    <row r="12" spans="1:6" ht="30" customHeight="1" x14ac:dyDescent="0.4">
      <c r="A12" s="17" t="s">
        <v>75</v>
      </c>
      <c r="B12" s="18">
        <f>is!C6/((bs!B6+bs!C6)/2)</f>
        <v>1.3984020760506806</v>
      </c>
      <c r="C12" s="18">
        <f>is!D6/((bs!C6+bs!D6)/2)</f>
        <v>1.1198174892230752</v>
      </c>
      <c r="D12" s="18">
        <f>is!E6/((bs!D6+bs!E6)/2)</f>
        <v>0.86242887678183</v>
      </c>
      <c r="E12" s="18">
        <f>is!F6/((bs!E6+bs!F6)/2)</f>
        <v>1.2960997639507599</v>
      </c>
      <c r="F12" s="18">
        <f>is!G6/((bs!F6+bs!G6)/2)</f>
        <v>1.1580826449699384</v>
      </c>
    </row>
    <row r="13" spans="1:6" ht="30" customHeight="1" x14ac:dyDescent="0.4">
      <c r="A13" s="17" t="s">
        <v>74</v>
      </c>
      <c r="B13" s="18">
        <f>is!C7/((bs!B7+bs!C7)/2)</f>
        <v>0.47037421804443291</v>
      </c>
      <c r="C13" s="18">
        <f>is!D7/((bs!C7+bs!D7)/2)</f>
        <v>0.28503775359023897</v>
      </c>
      <c r="D13" s="18">
        <f>is!E7/((bs!D7+bs!E7)/2)</f>
        <v>0.26735653320638453</v>
      </c>
      <c r="E13" s="18">
        <f>is!F7/((bs!E7+bs!F7)/2)</f>
        <v>0.29534731247980622</v>
      </c>
      <c r="F13" s="18">
        <f>is!G7/((bs!F7+bs!G7)/2)</f>
        <v>0.26127324028519805</v>
      </c>
    </row>
    <row r="14" spans="1:6" s="13" customFormat="1" ht="30" customHeight="1" x14ac:dyDescent="0.4">
      <c r="A14" s="19" t="s">
        <v>56</v>
      </c>
      <c r="B14" s="16" t="s">
        <v>65</v>
      </c>
      <c r="C14" s="16" t="s">
        <v>64</v>
      </c>
      <c r="D14" s="16" t="s">
        <v>63</v>
      </c>
      <c r="E14" s="16" t="s">
        <v>62</v>
      </c>
      <c r="F14" s="16" t="s">
        <v>61</v>
      </c>
    </row>
    <row r="15" spans="1:6" ht="30" customHeight="1" x14ac:dyDescent="0.4">
      <c r="A15" s="17" t="s">
        <v>76</v>
      </c>
      <c r="B15" s="20">
        <f>((bs!B5+bs!C5)/2)/((bs!N5+bs!O5)/2)</f>
        <v>6.6647344274877707</v>
      </c>
      <c r="C15" s="20">
        <f>((bs!C5+bs!D5)/2)/((bs!O5+bs!P5)/2)</f>
        <v>6.4454881680818437</v>
      </c>
      <c r="D15" s="20">
        <f>((bs!D5+bs!E5)/2)/((bs!P5+bs!Q5)/2)</f>
        <v>6.5141178071099501</v>
      </c>
      <c r="E15" s="20">
        <f>((bs!E5+bs!F5)/2)/((bs!Q5+bs!R5)/2)</f>
        <v>8.2017303146209315</v>
      </c>
      <c r="F15" s="20">
        <f>((bs!F5+bs!G5)/2)/((bs!R5+bs!S5)/2)</f>
        <v>11.056189157893968</v>
      </c>
    </row>
    <row r="16" spans="1:6" ht="30" customHeight="1" x14ac:dyDescent="0.4">
      <c r="A16" s="17" t="s">
        <v>75</v>
      </c>
      <c r="B16" s="20">
        <f>((bs!B6+bs!C6)/2)/((bs!N6+bs!O6)/2)</f>
        <v>1.373426229219747</v>
      </c>
      <c r="C16" s="20">
        <f>((bs!C6+bs!D6)/2)/((bs!O6+bs!P6)/2)</f>
        <v>1.6917602808525292</v>
      </c>
      <c r="D16" s="20">
        <f>((bs!D6+bs!E6)/2)/((bs!P6+bs!Q6)/2)</f>
        <v>2.0279869764093794</v>
      </c>
      <c r="E16" s="20">
        <f>((bs!E6+bs!F6)/2)/((bs!Q6+bs!R6)/2)</f>
        <v>2.1304801435393657</v>
      </c>
      <c r="F16" s="20">
        <f>((bs!F6+bs!G6)/2)/((bs!R6+bs!S6)/2)</f>
        <v>2.1135856162367372</v>
      </c>
    </row>
    <row r="17" spans="1:6" ht="30" customHeight="1" x14ac:dyDescent="0.4">
      <c r="A17" s="17" t="s">
        <v>74</v>
      </c>
      <c r="B17" s="20">
        <f>((bs!B7+bs!C7)/2)/((bs!N7+bs!O7)/2)</f>
        <v>1.9665951452997059</v>
      </c>
      <c r="C17" s="20">
        <f>((bs!C7+bs!D7)/2)/((bs!O7+bs!P7)/2)</f>
        <v>1.9120866360920756</v>
      </c>
      <c r="D17" s="20">
        <f>((bs!D7+bs!E7)/2)/((bs!P7+bs!Q7)/2)</f>
        <v>2.2526479517293758</v>
      </c>
      <c r="E17" s="20">
        <f>((bs!E7+bs!F7)/2)/((bs!Q7+bs!R7)/2)</f>
        <v>3.0553387623030699</v>
      </c>
      <c r="F17" s="20">
        <f>((bs!F7+bs!G7)/2)/((bs!R7+bs!S7)/2)</f>
        <v>3.4474969830958733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A47D-A744-452B-8B1B-66DD56D0B647}">
  <dimension ref="A1:F13"/>
  <sheetViews>
    <sheetView tabSelected="1" zoomScale="80" zoomScaleNormal="80" workbookViewId="0">
      <selection activeCell="B7" sqref="B7"/>
    </sheetView>
  </sheetViews>
  <sheetFormatPr defaultColWidth="8.6640625" defaultRowHeight="13.9" x14ac:dyDescent="0.4"/>
  <cols>
    <col min="1" max="1" width="41.19921875" style="12" customWidth="1"/>
    <col min="2" max="6" width="20.265625" style="12" customWidth="1"/>
    <col min="7" max="16384" width="8.6640625" style="12"/>
  </cols>
  <sheetData>
    <row r="1" spans="1:6" ht="22.5" x14ac:dyDescent="0.4">
      <c r="B1" s="16">
        <v>2018</v>
      </c>
      <c r="C1" s="16">
        <v>2019</v>
      </c>
      <c r="D1" s="16">
        <v>2020</v>
      </c>
      <c r="E1" s="16">
        <v>2021</v>
      </c>
      <c r="F1" s="16">
        <v>2022</v>
      </c>
    </row>
    <row r="2" spans="1:6" ht="30" customHeight="1" x14ac:dyDescent="0.6">
      <c r="A2" s="21" t="s">
        <v>15</v>
      </c>
      <c r="B2" s="16" t="s">
        <v>65</v>
      </c>
      <c r="C2" s="16" t="s">
        <v>64</v>
      </c>
      <c r="D2" s="16" t="s">
        <v>63</v>
      </c>
      <c r="E2" s="16" t="s">
        <v>62</v>
      </c>
      <c r="F2" s="16" t="s">
        <v>61</v>
      </c>
    </row>
    <row r="3" spans="1:6" ht="30" customHeight="1" x14ac:dyDescent="0.65">
      <c r="A3" s="17" t="s">
        <v>76</v>
      </c>
      <c r="B3" s="22">
        <f>(is!C5-is!I5)/is!C5</f>
        <v>0.10787372119772858</v>
      </c>
      <c r="C3" s="22">
        <f>(is!D5-is!J5)/is!D5</f>
        <v>0.14830252601273525</v>
      </c>
      <c r="D3" s="22">
        <f>(is!E5-is!K5)/is!E5</f>
        <v>0.13907682315348507</v>
      </c>
      <c r="E3" s="22">
        <f>(is!F5-is!L5)/is!F5</f>
        <v>2.963761187833177E-3</v>
      </c>
      <c r="F3" s="22">
        <f>(is!G5-is!M5)/is!G5</f>
        <v>0.16691528613637963</v>
      </c>
    </row>
    <row r="4" spans="1:6" ht="30" customHeight="1" x14ac:dyDescent="0.65">
      <c r="A4" s="17" t="s">
        <v>75</v>
      </c>
      <c r="B4" s="22">
        <f>(is!C6-is!I6)/is!C6</f>
        <v>0.13571226486747215</v>
      </c>
      <c r="C4" s="22">
        <f>(is!D6-is!J6)/is!D6</f>
        <v>0.16019590881394188</v>
      </c>
      <c r="D4" s="22">
        <f>(is!E6-is!K6)/is!E6</f>
        <v>0.15941577901801096</v>
      </c>
      <c r="E4" s="22">
        <f>(is!F6-is!L6)/is!F6</f>
        <v>8.4632306532842247E-2</v>
      </c>
      <c r="F4" s="22">
        <f>(is!G6-is!M6)/is!G6</f>
        <v>0.10110563695161497</v>
      </c>
    </row>
    <row r="5" spans="1:6" ht="30" customHeight="1" x14ac:dyDescent="0.65">
      <c r="A5" s="17" t="s">
        <v>74</v>
      </c>
      <c r="B5" s="22">
        <f>(is!C7-is!I7)/is!C7</f>
        <v>0.25108118941641228</v>
      </c>
      <c r="C5" s="22">
        <f>(is!D7-is!J7)/is!D7</f>
        <v>0.36156922067724667</v>
      </c>
      <c r="D5" s="22">
        <f>(is!E7-is!K7)/is!E7</f>
        <v>0.2985053661184191</v>
      </c>
      <c r="E5" s="22">
        <f>(is!F7-is!L7)/is!F7</f>
        <v>0.32550700813858224</v>
      </c>
      <c r="F5" s="22">
        <f>(is!G7-is!M7)/is!G7</f>
        <v>0.21474869495089965</v>
      </c>
    </row>
    <row r="6" spans="1:6" ht="30" customHeight="1" x14ac:dyDescent="0.6">
      <c r="A6" s="21" t="s">
        <v>17</v>
      </c>
      <c r="B6" s="16" t="s">
        <v>65</v>
      </c>
      <c r="C6" s="16" t="s">
        <v>64</v>
      </c>
      <c r="D6" s="16" t="s">
        <v>63</v>
      </c>
      <c r="E6" s="16" t="s">
        <v>62</v>
      </c>
      <c r="F6" s="16" t="s">
        <v>61</v>
      </c>
    </row>
    <row r="7" spans="1:6" ht="30" customHeight="1" x14ac:dyDescent="0.65">
      <c r="A7" s="17" t="s">
        <v>76</v>
      </c>
      <c r="B7" s="22" t="e">
        <f>(is!C5-[1]Cis20!I5-is!O5-is!U5-is!AA5-is!AG5)/is!C5</f>
        <v>#REF!</v>
      </c>
      <c r="C7" s="22">
        <f>(is!D5-is!J5-is!P5-is!V5-is!AB5-is!AH5)/is!D5</f>
        <v>9.1024479908997452E-2</v>
      </c>
      <c r="D7" s="22">
        <f>(is!E5-is!K5-is!Q5-is!W5-is!AC5-is!AI5)/is!E5</f>
        <v>9.6763383860631241E-2</v>
      </c>
      <c r="E7" s="22">
        <f>(is!F5-is!L5-is!R5-is!X5-is!AD5-is!AJ5)/is!F5</f>
        <v>-7.3309633528667761E-2</v>
      </c>
      <c r="F7" s="22">
        <f>(is!G5-is!M5-is!S5-is!Y5-is!AE5-is!AK5)/is!G5</f>
        <v>9.1095879015213571E-2</v>
      </c>
    </row>
    <row r="8" spans="1:6" ht="30" customHeight="1" x14ac:dyDescent="0.65">
      <c r="A8" s="17" t="s">
        <v>75</v>
      </c>
      <c r="B8" s="22" t="e">
        <f>(is!C6-is!I6-is!O6-is!U6-is!AA6-is!AG6)/is!C6</f>
        <v>#VALUE!</v>
      </c>
      <c r="C8" s="22">
        <f>(is!D6-is!J6-is!P6-is!V6-is!AB6-is!AH6)/is!D6</f>
        <v>3.95289961302073E-2</v>
      </c>
      <c r="D8" s="22">
        <f>(is!E6-is!K6-is!Q6-is!W6-is!AC6-is!AI6)/is!E6</f>
        <v>3.7889309631088518E-2</v>
      </c>
      <c r="E8" s="22">
        <f>(is!F6-is!L6-is!R6-is!X6-is!AD6-is!AJ6)/is!F6</f>
        <v>1.9399746969685574E-2</v>
      </c>
      <c r="F8" s="22">
        <f>(is!G6-is!M6-is!S6-is!Y6-is!AE6-is!AK6)/is!G6</f>
        <v>3.1259571815747914E-2</v>
      </c>
    </row>
    <row r="9" spans="1:6" ht="30" customHeight="1" x14ac:dyDescent="0.65">
      <c r="A9" s="17" t="s">
        <v>74</v>
      </c>
      <c r="B9" s="22" t="e">
        <f>(is!C7-is!I7-is!O7-is!U7-is!AA7-is!AG7)/is!C7</f>
        <v>#VALUE!</v>
      </c>
      <c r="C9" s="22" t="e">
        <f>(is!D7-is!J7-is!P7-is!V7-is!AB7-is!AH7)/is!D7</f>
        <v>#VALUE!</v>
      </c>
      <c r="D9" s="22">
        <f>(is!E7-is!K7-is!Q7-is!W7-is!AC7-is!AI7)/is!E7</f>
        <v>8.00121362534435E-2</v>
      </c>
      <c r="E9" s="22">
        <f>(is!F7-is!L7-is!R7-is!X7-is!AD7-is!AJ7)/is!F7</f>
        <v>6.2738391784434466E-2</v>
      </c>
      <c r="F9" s="22">
        <f>(is!G7-is!M7-is!S7-is!Y7-is!AE7-is!AK7)/is!G7</f>
        <v>-6.7938105068531693E-2</v>
      </c>
    </row>
    <row r="10" spans="1:6" ht="30" customHeight="1" x14ac:dyDescent="0.6">
      <c r="A10" s="21" t="s">
        <v>16</v>
      </c>
      <c r="B10" s="16" t="s">
        <v>65</v>
      </c>
      <c r="C10" s="16" t="s">
        <v>64</v>
      </c>
      <c r="D10" s="16" t="s">
        <v>63</v>
      </c>
      <c r="E10" s="16" t="s">
        <v>62</v>
      </c>
      <c r="F10" s="16" t="s">
        <v>61</v>
      </c>
    </row>
    <row r="11" spans="1:6" ht="30" customHeight="1" x14ac:dyDescent="0.65">
      <c r="A11" s="17" t="s">
        <v>76</v>
      </c>
      <c r="B11" s="22">
        <f>is!AM5/is!C5</f>
        <v>3.0807994828693903E-2</v>
      </c>
      <c r="C11" s="22">
        <f>is!AN5/is!D5</f>
        <v>2.4088855494315772E-2</v>
      </c>
      <c r="D11" s="22">
        <f>is!AO5/is!E5</f>
        <v>1.288038839560492E-2</v>
      </c>
      <c r="E11" s="22">
        <f>is!AP5/is!F5</f>
        <v>-0.18177313410435761</v>
      </c>
      <c r="F11" s="22">
        <f>is!AQ5/is!G5</f>
        <v>-0.12094443036511865</v>
      </c>
    </row>
    <row r="12" spans="1:6" ht="30" customHeight="1" x14ac:dyDescent="0.65">
      <c r="A12" s="17" t="s">
        <v>75</v>
      </c>
      <c r="B12" s="22">
        <f>is!AM6/is!C6</f>
        <v>2.5027880652167534E-2</v>
      </c>
      <c r="C12" s="22">
        <f>is!AN6/is!D6</f>
        <v>1.8857310398783207E-2</v>
      </c>
      <c r="D12" s="22">
        <f>is!AO6/is!E6</f>
        <v>1.0432040724841461E-2</v>
      </c>
      <c r="E12" s="22">
        <f>is!AP6/is!F6</f>
        <v>1.1513977993219054E-2</v>
      </c>
      <c r="F12" s="22">
        <f>is!AQ6/is!G6</f>
        <v>3.7383532391985143E-2</v>
      </c>
    </row>
    <row r="13" spans="1:6" ht="30" customHeight="1" x14ac:dyDescent="0.65">
      <c r="A13" s="17" t="s">
        <v>74</v>
      </c>
      <c r="B13" s="22">
        <f>is!AM7/is!C7</f>
        <v>0.12036984023347276</v>
      </c>
      <c r="C13" s="22">
        <f>is!AN7/is!D7</f>
        <v>7.6586750109517737E-2</v>
      </c>
      <c r="D13" s="22">
        <f>is!AO7/is!E7</f>
        <v>-0.38592602506752799</v>
      </c>
      <c r="E13" s="22">
        <f>is!AP7/is!F7</f>
        <v>-0.31664534560396773</v>
      </c>
      <c r="F13" s="22">
        <f>is!AQ7/is!G7</f>
        <v>-0.34373190606032283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A21D-E862-4336-A7D2-6DCC5E4EAB57}">
  <dimension ref="A1:A15"/>
  <sheetViews>
    <sheetView workbookViewId="0">
      <selection activeCell="C32" sqref="C32"/>
    </sheetView>
  </sheetViews>
  <sheetFormatPr defaultRowHeight="15" customHeight="1" x14ac:dyDescent="0.4"/>
  <cols>
    <col min="1" max="1" width="49.53125" customWidth="1"/>
  </cols>
  <sheetData>
    <row r="1" spans="1:1" ht="15" customHeight="1" thickBot="1" x14ac:dyDescent="0.45">
      <c r="A1" s="1" t="s">
        <v>0</v>
      </c>
    </row>
    <row r="2" spans="1:1" ht="15" customHeight="1" thickBot="1" x14ac:dyDescent="0.45">
      <c r="A2" s="2" t="s">
        <v>1</v>
      </c>
    </row>
    <row r="3" spans="1:1" ht="15" customHeight="1" thickBot="1" x14ac:dyDescent="0.45">
      <c r="A3" s="1" t="s">
        <v>2</v>
      </c>
    </row>
    <row r="4" spans="1:1" ht="15" customHeight="1" thickBot="1" x14ac:dyDescent="0.45">
      <c r="A4" s="2" t="s">
        <v>3</v>
      </c>
    </row>
    <row r="5" spans="1:1" ht="15" customHeight="1" thickBot="1" x14ac:dyDescent="0.45">
      <c r="A5" s="4" t="s">
        <v>14</v>
      </c>
    </row>
    <row r="6" spans="1:1" ht="15" customHeight="1" thickBot="1" x14ac:dyDescent="0.45">
      <c r="A6" s="3" t="s">
        <v>4</v>
      </c>
    </row>
    <row r="7" spans="1:1" ht="15" customHeight="1" thickBot="1" x14ac:dyDescent="0.45">
      <c r="A7" s="2" t="s">
        <v>5</v>
      </c>
    </row>
    <row r="8" spans="1:1" ht="15" customHeight="1" thickBot="1" x14ac:dyDescent="0.45">
      <c r="A8" s="2" t="s">
        <v>6</v>
      </c>
    </row>
    <row r="9" spans="1:1" ht="15" customHeight="1" thickBot="1" x14ac:dyDescent="0.45">
      <c r="A9" s="2" t="s">
        <v>7</v>
      </c>
    </row>
    <row r="10" spans="1:1" ht="15" customHeight="1" thickBot="1" x14ac:dyDescent="0.45">
      <c r="A10" s="2" t="s">
        <v>8</v>
      </c>
    </row>
    <row r="11" spans="1:1" ht="15" customHeight="1" thickBot="1" x14ac:dyDescent="0.45">
      <c r="A11" s="1" t="s">
        <v>9</v>
      </c>
    </row>
    <row r="12" spans="1:1" ht="15" customHeight="1" thickBot="1" x14ac:dyDescent="0.45">
      <c r="A12" s="3" t="s">
        <v>10</v>
      </c>
    </row>
    <row r="13" spans="1:1" ht="15" customHeight="1" thickBot="1" x14ac:dyDescent="0.45">
      <c r="A13" s="2" t="s">
        <v>11</v>
      </c>
    </row>
    <row r="14" spans="1:1" ht="15" customHeight="1" thickBot="1" x14ac:dyDescent="0.45">
      <c r="A14" s="2" t="s">
        <v>12</v>
      </c>
    </row>
    <row r="15" spans="1:1" ht="15" customHeight="1" thickBot="1" x14ac:dyDescent="0.45">
      <c r="A15" s="1" t="s">
        <v>13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8FF7-055E-4114-8833-70B367F35DD5}">
  <dimension ref="A1:A8"/>
  <sheetViews>
    <sheetView workbookViewId="0">
      <selection sqref="A1:A8"/>
    </sheetView>
  </sheetViews>
  <sheetFormatPr defaultColWidth="8.796875" defaultRowHeight="18" customHeight="1" x14ac:dyDescent="0.55000000000000004"/>
  <cols>
    <col min="1" max="1" width="56.6640625" style="6" customWidth="1"/>
    <col min="2" max="16384" width="8.796875" style="6"/>
  </cols>
  <sheetData>
    <row r="1" spans="1:1" ht="18" customHeight="1" thickBot="1" x14ac:dyDescent="0.6">
      <c r="A1" s="5" t="s">
        <v>18</v>
      </c>
    </row>
    <row r="2" spans="1:1" ht="18" customHeight="1" thickBot="1" x14ac:dyDescent="0.6">
      <c r="A2" s="5" t="s">
        <v>19</v>
      </c>
    </row>
    <row r="3" spans="1:1" ht="18" customHeight="1" thickBot="1" x14ac:dyDescent="0.6">
      <c r="A3" s="7" t="s">
        <v>20</v>
      </c>
    </row>
    <row r="4" spans="1:1" ht="18" customHeight="1" thickBot="1" x14ac:dyDescent="0.6">
      <c r="A4" s="8" t="s">
        <v>67</v>
      </c>
    </row>
    <row r="5" spans="1:1" ht="18" customHeight="1" thickBot="1" x14ac:dyDescent="0.6">
      <c r="A5" s="8" t="s">
        <v>21</v>
      </c>
    </row>
    <row r="6" spans="1:1" ht="18" customHeight="1" thickBot="1" x14ac:dyDescent="0.6">
      <c r="A6" s="7" t="s">
        <v>22</v>
      </c>
    </row>
    <row r="7" spans="1:1" ht="18" customHeight="1" thickBot="1" x14ac:dyDescent="0.6">
      <c r="A7" s="5" t="s">
        <v>68</v>
      </c>
    </row>
    <row r="8" spans="1:1" ht="18" customHeight="1" thickBot="1" x14ac:dyDescent="0.6">
      <c r="A8" s="7" t="s">
        <v>23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AF08-177E-40B5-B6EF-2980EBBFA16C}">
  <dimension ref="A1:F13"/>
  <sheetViews>
    <sheetView zoomScale="70" zoomScaleNormal="70" workbookViewId="0">
      <selection activeCell="B3" sqref="B3"/>
    </sheetView>
  </sheetViews>
  <sheetFormatPr defaultColWidth="8.6640625" defaultRowHeight="22.9" x14ac:dyDescent="0.65"/>
  <cols>
    <col min="1" max="1" width="50.796875" style="24" customWidth="1"/>
    <col min="2" max="6" width="16.33203125" style="24" customWidth="1"/>
    <col min="7" max="16384" width="8.6640625" style="24"/>
  </cols>
  <sheetData>
    <row r="1" spans="1:6" x14ac:dyDescent="0.65">
      <c r="B1" s="16">
        <v>2018</v>
      </c>
      <c r="C1" s="16">
        <v>2019</v>
      </c>
      <c r="D1" s="16">
        <v>2020</v>
      </c>
      <c r="E1" s="16">
        <v>2021</v>
      </c>
      <c r="F1" s="16">
        <v>2022</v>
      </c>
    </row>
    <row r="2" spans="1:6" ht="30" customHeight="1" x14ac:dyDescent="0.65">
      <c r="A2" s="23" t="s">
        <v>24</v>
      </c>
      <c r="B2" s="16" t="s">
        <v>65</v>
      </c>
      <c r="C2" s="16" t="s">
        <v>64</v>
      </c>
      <c r="D2" s="16" t="s">
        <v>63</v>
      </c>
      <c r="E2" s="16" t="s">
        <v>62</v>
      </c>
      <c r="F2" s="16" t="s">
        <v>61</v>
      </c>
    </row>
    <row r="3" spans="1:6" ht="30" customHeight="1" x14ac:dyDescent="0.65">
      <c r="A3" s="17" t="s">
        <v>76</v>
      </c>
      <c r="B3" s="25">
        <f>(bs!I5-bs!U5-bs!AA5-bs!AH5-bs!AM5)/bs!C5</f>
        <v>0.74604963820256842</v>
      </c>
      <c r="C3" s="25">
        <f>(bs!J5-bs!V5-bs!AB5-bs!AI5-bs!AN5)/bs!D5</f>
        <v>0.74149268451457617</v>
      </c>
      <c r="D3" s="25">
        <f>(bs!K5-bs!W5-bs!AC5-bs!AJ5-bs!AO5)/bs!E5</f>
        <v>0.75359014242040168</v>
      </c>
      <c r="E3" s="25">
        <f>(bs!L5-bs!X5-bs!AD5-bs!AK5-bs!AP5)/bs!F5</f>
        <v>0.77606596121122318</v>
      </c>
      <c r="F3" s="25">
        <f>(bs!M5-bs!Y5-bs!AE5-bs!AL5-bs!AQ5)/bs!G5</f>
        <v>0.83605052629785637</v>
      </c>
    </row>
    <row r="4" spans="1:6" ht="30" customHeight="1" x14ac:dyDescent="0.65">
      <c r="A4" s="17" t="s">
        <v>75</v>
      </c>
      <c r="B4" s="25">
        <f>(bs!I6-bs!U6-bs!AA6-bs!AH6-bs!AM6)/bs!C6</f>
        <v>0.29474392659788062</v>
      </c>
      <c r="C4" s="25">
        <f>(bs!J6-bs!V6-bs!AB6-bs!AI6-bs!AN6)/bs!D6</f>
        <v>0.46507384771737681</v>
      </c>
      <c r="D4" s="25">
        <f>(bs!K6-bs!W6-bs!AC6-bs!AJ6-bs!AO6)/bs!E6</f>
        <v>0.51913078956404102</v>
      </c>
      <c r="E4" s="25">
        <f>(bs!L6-bs!X6-bs!AD6-bs!AK6-bs!AP6)/bs!F6</f>
        <v>0.5241955804721512</v>
      </c>
      <c r="F4" s="25">
        <f>(bs!M6-bs!Y6-bs!AE6-bs!AL6-bs!AQ6)/bs!G6</f>
        <v>0.51034056282810081</v>
      </c>
    </row>
    <row r="5" spans="1:6" ht="30" customHeight="1" x14ac:dyDescent="0.65">
      <c r="A5" s="17" t="s">
        <v>74</v>
      </c>
      <c r="B5" s="25">
        <f>(bs!I7-bs!U7-bs!AA7-bs!AH7-bs!AM7)/bs!C7</f>
        <v>0.41068509025844108</v>
      </c>
      <c r="C5" s="25">
        <f>(bs!J7-bs!V7-bs!AB7-bs!AI7-bs!AN7)/bs!D7</f>
        <v>0.46261828306984071</v>
      </c>
      <c r="D5" s="25">
        <f>(bs!K7-bs!W7-bs!AC7-bs!AJ7-bs!AO7)/bs!E7</f>
        <v>0.57273869836447011</v>
      </c>
      <c r="E5" s="25">
        <f>(bs!L7-bs!X7-bs!AD7-bs!AK7-bs!AP7)/bs!F7</f>
        <v>0.68837397535639833</v>
      </c>
      <c r="F5" s="25">
        <f>(bs!M7-bs!Y7-bs!AE7-bs!AL7-bs!AQ7)/bs!G7</f>
        <v>0.65016038792523068</v>
      </c>
    </row>
    <row r="6" spans="1:6" ht="30" customHeight="1" x14ac:dyDescent="0.65">
      <c r="A6" s="23" t="s">
        <v>25</v>
      </c>
      <c r="B6" s="16" t="s">
        <v>65</v>
      </c>
      <c r="C6" s="16" t="s">
        <v>64</v>
      </c>
      <c r="D6" s="16" t="s">
        <v>63</v>
      </c>
      <c r="E6" s="16" t="s">
        <v>62</v>
      </c>
      <c r="F6" s="16" t="s">
        <v>61</v>
      </c>
    </row>
    <row r="7" spans="1:6" ht="30" customHeight="1" x14ac:dyDescent="0.65">
      <c r="A7" s="17" t="s">
        <v>76</v>
      </c>
      <c r="B7" s="25">
        <f>(bs!AS5+bs!AY5+bs!BE5+bs!BK5)/bs!C5</f>
        <v>0.32774564924172211</v>
      </c>
      <c r="C7" s="25">
        <f>(bs!AT5+bs!AZ5+bs!BF5+bs!BL5)/bs!D5</f>
        <v>0.38469775738504813</v>
      </c>
      <c r="D7" s="25">
        <f>(bs!AU5+bs!BA5+bs!BG5+bs!BM5)/bs!E5</f>
        <v>0.38373440216094534</v>
      </c>
      <c r="E7" s="25">
        <f>(bs!AV5+bs!BB5+bs!BH5+bs!BN5)/bs!F5</f>
        <v>0.40307860114725258</v>
      </c>
      <c r="F7" s="25">
        <f>(bs!AW5+bs!BC5+bs!BI5+bs!BO5)/bs!G5</f>
        <v>0.44598102934552303</v>
      </c>
    </row>
    <row r="8" spans="1:6" ht="30" customHeight="1" x14ac:dyDescent="0.65">
      <c r="A8" s="17" t="s">
        <v>75</v>
      </c>
      <c r="B8" s="25">
        <f>(bs!AS6+bs!AY6+bs!BE6+bs!BK6)/bs!C6</f>
        <v>0.10943111165763125</v>
      </c>
      <c r="C8" s="25">
        <f>(bs!AT6+bs!AZ6+bs!BF6+bs!BL6)/bs!D6</f>
        <v>0.32020768103631292</v>
      </c>
      <c r="D8" s="25">
        <f>(bs!AU6+bs!BA6+bs!BG6+bs!BM6)/bs!E6</f>
        <v>0.31281598682204792</v>
      </c>
      <c r="E8" s="25">
        <f>(bs!AV6+bs!BB6+bs!BH6+bs!BN6)/bs!F6</f>
        <v>0.20427432033887707</v>
      </c>
      <c r="F8" s="25">
        <f>(bs!AW6+bs!BC6+bs!BI6+bs!BO6)/bs!G6</f>
        <v>0.14148198782866392</v>
      </c>
    </row>
    <row r="9" spans="1:6" ht="30" customHeight="1" x14ac:dyDescent="0.65">
      <c r="A9" s="17" t="s">
        <v>74</v>
      </c>
      <c r="B9" s="25">
        <f>(bs!AS7+bs!AY7+bs!BE7+bs!BK7)/bs!C7</f>
        <v>0.22868659112293815</v>
      </c>
      <c r="C9" s="25">
        <f>(bs!AT7+bs!AZ7+bs!BF7+bs!BL7)/bs!D7</f>
        <v>0.27349109865254295</v>
      </c>
      <c r="D9" s="25">
        <f>(bs!AU7+bs!BA7+bs!BG7+bs!BM7)/bs!E7</f>
        <v>0.33905007635375711</v>
      </c>
      <c r="E9" s="25">
        <f>(bs!AV7+bs!BB7+bs!BH7+bs!BN7)/bs!F7</f>
        <v>0.38833459605854986</v>
      </c>
      <c r="F9" s="25">
        <f>(bs!AW7+bs!BC7+bs!BI7+bs!BO7)/bs!G7</f>
        <v>0.26273574170505609</v>
      </c>
    </row>
    <row r="10" spans="1:6" ht="30" customHeight="1" x14ac:dyDescent="0.65">
      <c r="A10" s="23" t="s">
        <v>26</v>
      </c>
      <c r="B10" s="16" t="s">
        <v>65</v>
      </c>
      <c r="C10" s="16" t="s">
        <v>64</v>
      </c>
      <c r="D10" s="16" t="s">
        <v>63</v>
      </c>
      <c r="E10" s="16" t="s">
        <v>62</v>
      </c>
      <c r="F10" s="16" t="s">
        <v>61</v>
      </c>
    </row>
    <row r="11" spans="1:6" ht="30" customHeight="1" x14ac:dyDescent="0.65">
      <c r="A11" s="17" t="s">
        <v>76</v>
      </c>
      <c r="B11" s="26">
        <f>bs!BQ5/bs!BW5</f>
        <v>1.1108582894345183</v>
      </c>
      <c r="C11" s="26">
        <f>bs!BR5/bs!BX5</f>
        <v>0.99024924981543538</v>
      </c>
      <c r="D11" s="26">
        <f>bs!BS5/bs!BY5</f>
        <v>1.12087256486719</v>
      </c>
      <c r="E11" s="26">
        <f>bs!BT5/bs!BZ5</f>
        <v>1.088772525832165</v>
      </c>
      <c r="F11" s="26">
        <f>bs!BU5/bs!CA5</f>
        <v>0.98545117371550961</v>
      </c>
    </row>
    <row r="12" spans="1:6" ht="30" customHeight="1" x14ac:dyDescent="0.65">
      <c r="A12" s="17" t="s">
        <v>75</v>
      </c>
      <c r="B12" s="26">
        <f>bs!BQ6/bs!BW6</f>
        <v>2.2504618029509325</v>
      </c>
      <c r="C12" s="26">
        <f>bs!BR6/bs!BX6</f>
        <v>1.6044460707548904</v>
      </c>
      <c r="D12" s="26">
        <f>bs!BS6/bs!BY6</f>
        <v>1.4693721857165796</v>
      </c>
      <c r="E12" s="26">
        <f>bs!BT6/bs!BZ6</f>
        <v>1.5369909868459908</v>
      </c>
      <c r="F12" s="26">
        <f>bs!BU6/bs!CA6</f>
        <v>1.5465221382090595</v>
      </c>
    </row>
    <row r="13" spans="1:6" ht="30" customHeight="1" x14ac:dyDescent="0.65">
      <c r="A13" s="17" t="s">
        <v>74</v>
      </c>
      <c r="B13" s="26">
        <f>bs!BQ7/bs!BW7</f>
        <v>1.3155528302339887</v>
      </c>
      <c r="C13" s="26">
        <f>bs!BR7/bs!BX7</f>
        <v>1.2879630245476275</v>
      </c>
      <c r="D13" s="26">
        <f>bs!BS7/bs!BY7</f>
        <v>1.3044871416926827</v>
      </c>
      <c r="E13" s="26">
        <f>bs!BT7/bs!BZ7</f>
        <v>1.0938966088224753</v>
      </c>
      <c r="F13" s="26">
        <f>bs!BU7/bs!CA7</f>
        <v>1.2573434918077426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F18E-1B49-4087-B8B0-BA4FAED2C410}">
  <dimension ref="A1:F17"/>
  <sheetViews>
    <sheetView zoomScale="70" zoomScaleNormal="70" workbookViewId="0">
      <selection activeCell="A24" sqref="A24"/>
    </sheetView>
  </sheetViews>
  <sheetFormatPr defaultColWidth="8.6640625" defaultRowHeight="13.9" x14ac:dyDescent="0.4"/>
  <cols>
    <col min="1" max="1" width="49.19921875" style="12" customWidth="1"/>
    <col min="2" max="6" width="20.33203125" style="14" customWidth="1"/>
    <col min="7" max="16384" width="8.6640625" style="12"/>
  </cols>
  <sheetData>
    <row r="1" spans="1:6" ht="41.25" customHeight="1" x14ac:dyDescent="0.4">
      <c r="B1" s="16">
        <v>2018</v>
      </c>
      <c r="C1" s="16">
        <v>2019</v>
      </c>
      <c r="D1" s="16">
        <v>2020</v>
      </c>
      <c r="E1" s="16">
        <v>2021</v>
      </c>
      <c r="F1" s="16">
        <v>2022</v>
      </c>
    </row>
    <row r="2" spans="1:6" ht="30" customHeight="1" x14ac:dyDescent="0.4">
      <c r="A2" s="27" t="s">
        <v>27</v>
      </c>
      <c r="B2" s="28" t="s">
        <v>65</v>
      </c>
      <c r="C2" s="28" t="s">
        <v>64</v>
      </c>
      <c r="D2" s="28" t="s">
        <v>63</v>
      </c>
      <c r="E2" s="28" t="s">
        <v>62</v>
      </c>
      <c r="F2" s="28" t="s">
        <v>61</v>
      </c>
    </row>
    <row r="3" spans="1:6" ht="30" customHeight="1" x14ac:dyDescent="0.4">
      <c r="A3" s="17" t="s">
        <v>76</v>
      </c>
      <c r="B3" s="29">
        <f>is!C5/((bs!CB5+bs!CC5)/2)</f>
        <v>2.4380565849402704</v>
      </c>
      <c r="C3" s="29">
        <f>is!D5/((bs!CC5+bs!CD5)/2)</f>
        <v>1.2512528683564392</v>
      </c>
      <c r="D3" s="29">
        <f>is!E5/((bs!CD5+bs!CE5)/2)</f>
        <v>1.5122263554894828</v>
      </c>
      <c r="E3" s="29">
        <f>is!F5/((bs!CE5+bs!CF5)/2)</f>
        <v>1.1835944294050864</v>
      </c>
      <c r="F3" s="29">
        <f>is!G5/((bs!CF5+bs!CG5)/2)</f>
        <v>1.2651104865765535</v>
      </c>
    </row>
    <row r="4" spans="1:6" ht="30" customHeight="1" x14ac:dyDescent="0.4">
      <c r="A4" s="17" t="s">
        <v>75</v>
      </c>
      <c r="B4" s="30">
        <f>is!C6/((bs!CB6+bs!CC6)/2)</f>
        <v>8.7289930144781795</v>
      </c>
      <c r="C4" s="30">
        <f>is!D6/((bs!CC6+bs!CD6)/2)</f>
        <v>6.2120375652645192</v>
      </c>
      <c r="D4" s="30">
        <f>is!E6/((bs!CD6+bs!CE6)/2)</f>
        <v>5.1338028467087335</v>
      </c>
      <c r="E4" s="30">
        <f>is!F6/((bs!CE6+bs!CF6)/2)</f>
        <v>6.504466902573963</v>
      </c>
      <c r="F4" s="30">
        <f>is!G6/((bs!CF6+bs!CG6)/2)</f>
        <v>5.0475909018394098</v>
      </c>
    </row>
    <row r="5" spans="1:6" ht="30" customHeight="1" x14ac:dyDescent="0.4">
      <c r="A5" s="17" t="s">
        <v>74</v>
      </c>
      <c r="B5" s="30">
        <f>is!C7/((bs!CB7+bs!CC7)/2)</f>
        <v>3.0060590533238396</v>
      </c>
      <c r="C5" s="30">
        <f>is!D7/((bs!CC7+bs!CD7)/2)</f>
        <v>1.0863527829072972</v>
      </c>
      <c r="D5" s="30">
        <f>is!E7/((bs!CD7+bs!CE7)/2)</f>
        <v>0.78940471463123307</v>
      </c>
      <c r="E5" s="30">
        <f>is!F7/((bs!CE7+bs!CF7)/2)</f>
        <v>1.3749339943381533</v>
      </c>
      <c r="F5" s="30">
        <f>is!G7/((bs!CF7+bs!CG7)/2)</f>
        <v>2.3134035763103538</v>
      </c>
    </row>
    <row r="6" spans="1:6" ht="30" customHeight="1" x14ac:dyDescent="0.4">
      <c r="A6" s="27" t="s">
        <v>28</v>
      </c>
      <c r="B6" s="28" t="s">
        <v>65</v>
      </c>
      <c r="C6" s="28" t="s">
        <v>64</v>
      </c>
      <c r="D6" s="28" t="s">
        <v>63</v>
      </c>
      <c r="E6" s="28" t="s">
        <v>62</v>
      </c>
      <c r="F6" s="28" t="s">
        <v>61</v>
      </c>
    </row>
    <row r="7" spans="1:6" ht="30" customHeight="1" x14ac:dyDescent="0.4">
      <c r="A7" s="17" t="s">
        <v>76</v>
      </c>
      <c r="B7" s="31">
        <f t="shared" ref="B7:F9" si="0">365/B3</f>
        <v>149.70940471791474</v>
      </c>
      <c r="C7" s="31">
        <f t="shared" si="0"/>
        <v>291.70762299984909</v>
      </c>
      <c r="D7" s="31">
        <f t="shared" si="0"/>
        <v>241.36598246355487</v>
      </c>
      <c r="E7" s="31">
        <f t="shared" si="0"/>
        <v>308.3826612663774</v>
      </c>
      <c r="F7" s="31">
        <f t="shared" si="0"/>
        <v>288.51235040166858</v>
      </c>
    </row>
    <row r="8" spans="1:6" ht="30" customHeight="1" x14ac:dyDescent="0.4">
      <c r="A8" s="17" t="s">
        <v>75</v>
      </c>
      <c r="B8" s="31">
        <f t="shared" si="0"/>
        <v>41.814674315193017</v>
      </c>
      <c r="C8" s="31">
        <f t="shared" si="0"/>
        <v>58.756888728578971</v>
      </c>
      <c r="D8" s="31">
        <f t="shared" si="0"/>
        <v>71.09739327718836</v>
      </c>
      <c r="E8" s="31">
        <f t="shared" si="0"/>
        <v>56.115282845941046</v>
      </c>
      <c r="F8" s="31">
        <f t="shared" si="0"/>
        <v>72.311723968554801</v>
      </c>
    </row>
    <row r="9" spans="1:6" ht="30" customHeight="1" x14ac:dyDescent="0.4">
      <c r="A9" s="17" t="s">
        <v>74</v>
      </c>
      <c r="B9" s="31">
        <f t="shared" si="0"/>
        <v>121.42143368621272</v>
      </c>
      <c r="C9" s="31">
        <f t="shared" si="0"/>
        <v>335.98662031608831</v>
      </c>
      <c r="D9" s="31">
        <f t="shared" si="0"/>
        <v>462.37372698047307</v>
      </c>
      <c r="E9" s="31">
        <f t="shared" si="0"/>
        <v>265.4672889775328</v>
      </c>
      <c r="F9" s="31">
        <f t="shared" si="0"/>
        <v>157.7761890478869</v>
      </c>
    </row>
    <row r="10" spans="1:6" ht="30" customHeight="1" x14ac:dyDescent="0.4">
      <c r="A10" s="27" t="s">
        <v>29</v>
      </c>
      <c r="B10" s="28" t="s">
        <v>65</v>
      </c>
      <c r="C10" s="28" t="s">
        <v>64</v>
      </c>
      <c r="D10" s="28" t="s">
        <v>63</v>
      </c>
      <c r="E10" s="28" t="s">
        <v>62</v>
      </c>
      <c r="F10" s="28" t="s">
        <v>61</v>
      </c>
    </row>
    <row r="11" spans="1:6" ht="30" customHeight="1" x14ac:dyDescent="0.4">
      <c r="A11" s="17" t="s">
        <v>76</v>
      </c>
      <c r="B11" s="31">
        <f>is!I5/((bs!CH5+bs!CN5+bs!CI5+bs!CO5)/2)</f>
        <v>1.4688336851888104</v>
      </c>
      <c r="C11" s="31">
        <f>is!J5/((bs!CI5+bs!CO5+bs!CJ5+bs!CP5)/2)</f>
        <v>0.90129970332690978</v>
      </c>
      <c r="D11" s="31">
        <f>is!K5/((bs!CJ5+bs!CP5+bs!CK5+bs!CQ5)/2)</f>
        <v>1.0308783104499282</v>
      </c>
      <c r="E11" s="31">
        <f>is!L5/((bs!CK5+bs!CQ5+bs!CL5+bs!CR5)/2)</f>
        <v>0.7344563553977278</v>
      </c>
      <c r="F11" s="31">
        <f>is!M5/((bs!CL5+bs!CR5+bs!CM5+bs!CS5)/2)</f>
        <v>0.54112393756612587</v>
      </c>
    </row>
    <row r="12" spans="1:6" ht="30" customHeight="1" x14ac:dyDescent="0.4">
      <c r="A12" s="17" t="s">
        <v>75</v>
      </c>
      <c r="B12" s="31">
        <f>is!I6/((bs!CH6+bs!CN6+bs!CI6+bs!CO6)/2)</f>
        <v>9.0277268807497162</v>
      </c>
      <c r="C12" s="31">
        <f>is!J6/((bs!CI6+bs!CO6+bs!CJ6+bs!CP6)/2)</f>
        <v>8.3721790665273197</v>
      </c>
      <c r="D12" s="31">
        <f>is!K6/((bs!CJ6+bs!CP6+bs!CK6+bs!CQ6)/2)</f>
        <v>7.5394654971396653</v>
      </c>
      <c r="E12" s="31">
        <f>is!L6/((bs!CK6+bs!CQ6+bs!CL6+bs!CR6)/2)</f>
        <v>9.3230508630551974</v>
      </c>
      <c r="F12" s="31">
        <f>is!M6/((bs!CL6+bs!CR6+bs!CM6+bs!CS6)/2)</f>
        <v>8.2824628883163456</v>
      </c>
    </row>
    <row r="13" spans="1:6" ht="30" customHeight="1" x14ac:dyDescent="0.4">
      <c r="A13" s="17" t="s">
        <v>74</v>
      </c>
      <c r="B13" s="31">
        <f>is!I7/((bs!CH7+bs!CN7+bs!CI7+bs!CO7)/2)</f>
        <v>1.4820142606551243</v>
      </c>
      <c r="C13" s="31">
        <f>is!J7/((bs!CI7+bs!CO7+bs!CJ7+bs!CP7)/2)</f>
        <v>1.5574443573728785</v>
      </c>
      <c r="D13" s="31">
        <f>is!K7/((bs!CJ7+bs!CP7+bs!CK7+bs!CQ7)/2)</f>
        <v>8.1548071556971298</v>
      </c>
      <c r="E13" s="31">
        <f>is!L7/((bs!CK7+bs!CQ7+bs!CL7+bs!CR7)/2)</f>
        <v>2.4889916213177306</v>
      </c>
      <c r="F13" s="31">
        <f>is!M7/((bs!CL7+bs!CR7+bs!CM7+bs!CS7)/2)</f>
        <v>1.8688179075210372</v>
      </c>
    </row>
    <row r="14" spans="1:6" ht="30" customHeight="1" x14ac:dyDescent="0.4">
      <c r="A14" s="27" t="s">
        <v>30</v>
      </c>
      <c r="B14" s="28" t="s">
        <v>65</v>
      </c>
      <c r="C14" s="28" t="s">
        <v>64</v>
      </c>
      <c r="D14" s="28" t="s">
        <v>63</v>
      </c>
      <c r="E14" s="28" t="s">
        <v>62</v>
      </c>
      <c r="F14" s="28" t="s">
        <v>61</v>
      </c>
    </row>
    <row r="15" spans="1:6" ht="30" customHeight="1" x14ac:dyDescent="0.4">
      <c r="A15" s="17" t="s">
        <v>76</v>
      </c>
      <c r="B15" s="30">
        <f t="shared" ref="B15:F17" si="1">365/B11</f>
        <v>248.49647967671797</v>
      </c>
      <c r="C15" s="30">
        <f t="shared" si="1"/>
        <v>404.97073132577202</v>
      </c>
      <c r="D15" s="30">
        <f t="shared" si="1"/>
        <v>354.06700897673875</v>
      </c>
      <c r="E15" s="30">
        <f t="shared" si="1"/>
        <v>496.96622177412127</v>
      </c>
      <c r="F15" s="30">
        <f t="shared" si="1"/>
        <v>674.52199886351661</v>
      </c>
    </row>
    <row r="16" spans="1:6" ht="30" customHeight="1" x14ac:dyDescent="0.4">
      <c r="A16" s="17" t="s">
        <v>75</v>
      </c>
      <c r="B16" s="30">
        <f t="shared" si="1"/>
        <v>40.430997173641593</v>
      </c>
      <c r="C16" s="30">
        <f t="shared" si="1"/>
        <v>43.596774161138157</v>
      </c>
      <c r="D16" s="30">
        <f t="shared" si="1"/>
        <v>48.411919934970761</v>
      </c>
      <c r="E16" s="30">
        <f t="shared" si="1"/>
        <v>39.150274450008546</v>
      </c>
      <c r="F16" s="30">
        <f t="shared" si="1"/>
        <v>44.069017262351657</v>
      </c>
    </row>
    <row r="17" spans="1:6" ht="30" customHeight="1" x14ac:dyDescent="0.4">
      <c r="A17" s="17" t="s">
        <v>74</v>
      </c>
      <c r="B17" s="30">
        <f t="shared" si="1"/>
        <v>246.28642901091368</v>
      </c>
      <c r="C17" s="30">
        <f t="shared" si="1"/>
        <v>234.35829233455743</v>
      </c>
      <c r="D17" s="30">
        <f t="shared" si="1"/>
        <v>44.758875719703916</v>
      </c>
      <c r="E17" s="30">
        <f t="shared" si="1"/>
        <v>146.64573270309381</v>
      </c>
      <c r="F17" s="30">
        <f t="shared" si="1"/>
        <v>195.31062846254923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bs</vt:lpstr>
      <vt:lpstr>is</vt:lpstr>
      <vt:lpstr>cf</vt:lpstr>
      <vt:lpstr>ROE</vt:lpstr>
      <vt:lpstr>Profitability</vt:lpstr>
      <vt:lpstr>Reference1</vt:lpstr>
      <vt:lpstr>Reference2</vt:lpstr>
      <vt:lpstr>Solvency_liquidity</vt:lpstr>
      <vt:lpstr>Operation 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EJJ</dc:creator>
  <cp:lastModifiedBy>没睡醒x 鸫鸫</cp:lastModifiedBy>
  <dcterms:created xsi:type="dcterms:W3CDTF">2022-02-15T06:25:23Z</dcterms:created>
  <dcterms:modified xsi:type="dcterms:W3CDTF">2024-08-18T15:14:32Z</dcterms:modified>
</cp:coreProperties>
</file>