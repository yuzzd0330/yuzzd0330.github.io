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5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 Income Statement" sheetId="1" r:id="rId4"/>
    <sheet state="visible" name="A2 Q4 Drivers" sheetId="3" r:id="rId6"/>
    <sheet state="visible" name="B Balance Sheet" sheetId="2" r:id="rId5"/>
    <sheet state="visible" name="C1 Revenue Build" sheetId="4" r:id="rId7"/>
    <sheet state="visible" name="C2 Annual IS Forecast" sheetId="5" r:id="rId8"/>
    <sheet state="visible" name="D IS Assumptions" sheetId="6" r:id="rId9"/>
    <sheet state="visible" name="E IS Outputs for BS" sheetId="7" r:id="rId10"/>
    <sheet state="visible" name="F BS Assumptions" sheetId="8" r:id="rId11"/>
    <sheet state="visible" name="G Annual BS Forecast" sheetId="9" r:id="rId12"/>
    <sheet state="visible" name="H Flow to Equity" sheetId="10" r:id="rId13"/>
    <sheet state="visible" name="I Residual Income" sheetId="11" r:id="rId14"/>
    <sheet state="visible" name="J Relative Valuation" sheetId="12" r:id="rId15"/>
    <sheet state="visible" name="K Valuation Summary" sheetId="13" r:id="rId16"/>
    <sheet state="visible" name="L Market Comparison" sheetId="14" r:id="rId17"/>
    <sheet state="visible" name="M ROE and Ratios" sheetId="15" r:id="rIdM"/>
  </sheets>
  <definedNames>
    <definedName hidden="1" localSheetId="3" name="_xlnm._FilterDatabase">'C1 Revenue Build'!$A$5:$H$13</definedName>
  </definedNames>
  <calcPr fullCalcOnLoad="1"/>
  <extLst>
    <ext uri="GoogleSheetsCustomDataVersion2">
      <go:sheetsCustomData xmlns:go="http://customooxmlschemas.google.com/" r:id="rId18" roundtripDataChecksum="I+In5frK+kC6OJRXiZBIgQizVdwKum8rzHykIn6ShOw="/>
    </ext>
  </extLst>
</workbook>
</file>

<file path=xl/sharedStrings.xml><?xml version="1.0" encoding="utf-8"?>
<sst xmlns="http://schemas.openxmlformats.org/spreadsheetml/2006/main" count="973" uniqueCount="688">
  <si>
    <t>Income Statement Inputs and Forecast Drivers</t>
  </si>
  <si>
    <t>Apple FY2026 Q4 Income Statement and EPS Forecast</t>
  </si>
  <si>
    <t>USD millions; EPS in USD per share; diluted shares in millions</t>
  </si>
  <si>
    <t>Assumptions and rationale</t>
  </si>
  <si>
    <t>USD millions, except per-share data</t>
  </si>
  <si>
    <t>Income statement</t>
  </si>
  <si>
    <t>Item</t>
  </si>
  <si>
    <t>FY2025 Q4 Actual</t>
  </si>
  <si>
    <t>FY2026 Q1 Actual</t>
  </si>
  <si>
    <t>FY2026 Q2 Actual</t>
  </si>
  <si>
    <t>FY2026 Q3 Actual</t>
  </si>
  <si>
    <t>FY2026 Q4 Forecast</t>
  </si>
  <si>
    <t>Driver</t>
  </si>
  <si>
    <t>Selected</t>
  </si>
  <si>
    <t>Benchmark or range</t>
  </si>
  <si>
    <t>Rationale</t>
  </si>
  <si>
    <t>Source</t>
  </si>
  <si>
    <t>Revenue and gross profit</t>
  </si>
  <si>
    <t>Apple Balance Sheet Forecast</t>
  </si>
  <si>
    <t>FY2026 Q4 Forecast Input</t>
  </si>
  <si>
    <t>Notes</t>
  </si>
  <si>
    <t>Net sales growth</t>
  </si>
  <si>
    <t>Quarterly income statement</t>
  </si>
  <si>
    <t>USD millions; FY2025 Q4 and FY2026 Q3 are actual quarter-end balances</t>
  </si>
  <si>
    <t>Balance sheet item</t>
  </si>
  <si>
    <t>Net sales</t>
  </si>
  <si>
    <t>Forecast method / follow-up</t>
  </si>
  <si>
    <t>Current assets</t>
  </si>
  <si>
    <t>Cash and cash equivalents</t>
  </si>
  <si>
    <t>Management guidance: 9%–11% YoY</t>
  </si>
  <si>
    <t>Bottom-up total from iPhone, Mac, iPad, Wearables and Services; the result remains within management's 9%-11% range.</t>
  </si>
  <si>
    <t>Apple FY2026 Q3 earnings call</t>
  </si>
  <si>
    <t>Products</t>
  </si>
  <si>
    <t>Linked to A1 Income Statement forecast.</t>
  </si>
  <si>
    <t>Cost of sales</t>
  </si>
  <si>
    <t>Services growth</t>
  </si>
  <si>
    <t>Q3 growth adjusted for 2.5 ppt FX headwind</t>
  </si>
  <si>
    <t>Services uses the team's 12% base case; category-level assumptions are documented on C1 Revenue Build.</t>
  </si>
  <si>
    <t>Services</t>
  </si>
  <si>
    <t>Operating income</t>
  </si>
  <si>
    <t>Company gross margin</t>
  </si>
  <si>
    <t>Net income</t>
  </si>
  <si>
    <t>Management guidance: 47%–48%</t>
  </si>
  <si>
    <t>Midpoint incorporates higher memory costs, supply constraints and an expected tariff-refund benefit.</t>
  </si>
  <si>
    <t>Diluted EPS</t>
  </si>
  <si>
    <t>Services gross margin</t>
  </si>
  <si>
    <t>Near FY2026 Q3 actual: 75.6%</t>
  </si>
  <si>
    <t>Services margin has been stable near 75% recently; total margin guidance then implies the product margin.</t>
  </si>
  <si>
    <t>Company financials; Apple FY2026 Q3 results</t>
  </si>
  <si>
    <t>Product cost</t>
  </si>
  <si>
    <t>Diluted weighted-average shares (millions)</t>
  </si>
  <si>
    <t>Residual cash after forecasting other assets, liabilities, and equity; check versus Q3 balance.</t>
  </si>
  <si>
    <t>Total operating expenses</t>
  </si>
  <si>
    <t>Current marketable securities</t>
  </si>
  <si>
    <t>Quarter-end turnover and selected forecast ratios</t>
  </si>
  <si>
    <t>Management guidance: $19.1–$19.4bn</t>
  </si>
  <si>
    <t>Midpoint of the company range; split between R&amp;D and SG&amp;A using the latest quarterly mix.</t>
  </si>
  <si>
    <t>Service cost</t>
  </si>
  <si>
    <t>A/R turnover (revenue / ending A/R)</t>
  </si>
  <si>
    <t>R&amp;D share of operating expenses</t>
  </si>
  <si>
    <t>FY2026 Q3 R&amp;D/Opex mix</t>
  </si>
  <si>
    <t>Uses the latest expense composition while preserving management’s total Opex guidance.</t>
  </si>
  <si>
    <t>Company financials</t>
  </si>
  <si>
    <t>Other income/(expense), net</t>
  </si>
  <si>
    <t>Management guidance: about $350m</t>
  </si>
  <si>
    <t>Uses the specific company outlook rather than a volatile historical average.</t>
  </si>
  <si>
    <t>Gross margin</t>
  </si>
  <si>
    <t>Effective tax rate</t>
  </si>
  <si>
    <t>Management guidance: about 16.5%</t>
  </si>
  <si>
    <t>Avoids the unusually high FY2024 Q4 tax rate caused by a one-off tax item.</t>
  </si>
  <si>
    <t>Gross margin %</t>
  </si>
  <si>
    <t>FY2025 Q4 ratio captures September-quarter receivables seasonality.</t>
  </si>
  <si>
    <t>Vendor receivables turnover (cost / ending balance)</t>
  </si>
  <si>
    <t>Carry forward FY2026 Q3; revise if separately forecast</t>
  </si>
  <si>
    <t>Diluted weighted-average shares</t>
  </si>
  <si>
    <t>Recent decline and Q3 ending shares</t>
  </si>
  <si>
    <t>Accounts receivable, net</t>
  </si>
  <si>
    <t>Assumes continued repurchases; Q4 average shares remain above the FY2026 Q3 ending balance.</t>
  </si>
  <si>
    <t>Product gross margin %</t>
  </si>
  <si>
    <t>FY2025 Q4 ratio captures September-quarter vendor settlements.</t>
  </si>
  <si>
    <t>Inventory turnover (cost / ending inventory)</t>
  </si>
  <si>
    <t>Services gross margin %</t>
  </si>
  <si>
    <t>Reference</t>
  </si>
  <si>
    <t>Uses FY2026 Q3 turnover: inventory doubled versus FY2025 Q4, so a rapid return to the old level lacks support.</t>
  </si>
  <si>
    <t>A/P turnover (cost / ending A/P)</t>
  </si>
  <si>
    <t>Apple Q3 results</t>
  </si>
  <si>
    <t>https://www.apple.com/newsroom/2026/07/apple-reports-third-quarter-results/</t>
  </si>
  <si>
    <t>Operating expenses</t>
  </si>
  <si>
    <t>Apple earnings call guidance</t>
  </si>
  <si>
    <t>https://www.fool.com/earnings/call-transcripts/2026/08/07/apple-aapl-q3-2026-earnings-call-transcript/</t>
  </si>
  <si>
    <t>Research and development</t>
  </si>
  <si>
    <t>Q4 revenue / selected A/R turnover</t>
  </si>
  <si>
    <t>Vendor non-trade receivables</t>
  </si>
  <si>
    <t>SEC Form 10-Q</t>
  </si>
  <si>
    <t>FY2025 Q4 ratio captures September-quarter supplier payment seasonality.</t>
  </si>
  <si>
    <t>https://www.sec.gov/Archives/edgar/data/320193/000032019326000020/aapl-20260627.htm</t>
  </si>
  <si>
    <t>Revenue / ending deferred revenue</t>
  </si>
  <si>
    <t>Selling, general and administrative</t>
  </si>
  <si>
    <t>Q4 cost of sales / selected turnover</t>
  </si>
  <si>
    <t>Inventories</t>
  </si>
  <si>
    <t>FY2025 Q4 ratio anchors ending deferred revenue to same-quarter sales.</t>
  </si>
  <si>
    <t>FY2026 Q4 equity adjustments</t>
  </si>
  <si>
    <t>Dividends and equivalents (positive outflow)</t>
  </si>
  <si>
    <t>Operating margin %</t>
  </si>
  <si>
    <t>Q4 cost of sales / FY2026 Q3 inventory turnover; retains elevated 2026 inventory level.</t>
  </si>
  <si>
    <t>Other current assets</t>
  </si>
  <si>
    <t>Declared dividends and equivalents; Q3 run rate is the provisional Q4 assumption.</t>
  </si>
  <si>
    <t>Earnings and EPS</t>
  </si>
  <si>
    <t>Share repurchases (positive outflow)</t>
  </si>
  <si>
    <t>Carry forward FY2026 Q3</t>
  </si>
  <si>
    <t>Recognized share repurchases in equity; Q3 run rate is the provisional Q4 assumption.</t>
  </si>
  <si>
    <t>Total current assets</t>
  </si>
  <si>
    <t>Other retained earnings adjustment (signed)</t>
  </si>
  <si>
    <t>Income before provision for income taxes</t>
  </si>
  <si>
    <t>Withheld equity awards charged to retained earnings; Q3 signed amount is carried forward.</t>
  </si>
  <si>
    <t>Common stock / APIC net change</t>
  </si>
  <si>
    <t>Q3 APIC increase = 3,591 share compensation - 2,396 withheld shares; carry forward one quarter.</t>
  </si>
  <si>
    <t>EPS comparison with two sell-side analysts</t>
  </si>
  <si>
    <t>Group FY2026 Q4 EPS</t>
  </si>
  <si>
    <t>Provision for income taxes</t>
  </si>
  <si>
    <t>Group EPS is linked to A forecast; consensus is shown below for context only.</t>
  </si>
  <si>
    <t>Analyst 1 EPS</t>
  </si>
  <si>
    <t>Chang, Rob from KGI Greater China</t>
  </si>
  <si>
    <t>Analyst 2 EPS</t>
  </si>
  <si>
    <t>White, Brian J from Monness, Crespi, Hardt, &amp; Co Inc.</t>
  </si>
  <si>
    <t>Group less Analyst 1</t>
  </si>
  <si>
    <t>Formula total</t>
  </si>
  <si>
    <t>Non-current assets</t>
  </si>
  <si>
    <t>Group less Analyst 2</t>
  </si>
  <si>
    <t>Non-current marketable securities</t>
  </si>
  <si>
    <t>EPS formula check</t>
  </si>
  <si>
    <t>Market consensus EPS (context only)</t>
  </si>
  <si>
    <t>Property, plant and equipment, net</t>
  </si>
  <si>
    <t>LSEG Stock Report, 2 Oct 2026, p. 4: I/B/E/S mean 1.983 for quarter ending Sep 2026 (25 analysts; high 2.07, low 1.93). Cross-check: Yahoo Finance consensus 1.98, accessed 2026-10-05, https://finance.yahoo.com/quote/AAPL/analysis/. Consensus is not an individual analyst.</t>
  </si>
  <si>
    <t>Data sources</t>
  </si>
  <si>
    <t>Carry forward FY2026 Q3; update for capex and depreciation</t>
  </si>
  <si>
    <t>FY2025 full year</t>
  </si>
  <si>
    <t>Non-current intangible assets, net</t>
  </si>
  <si>
    <t>Apple FY2025 Form 10-K, PDF p. 32</t>
  </si>
  <si>
    <t>Carry forward FY2026 Q3; FY2025 comparative is reclassified</t>
  </si>
  <si>
    <t>Other non-current assets</t>
  </si>
  <si>
    <t>FY2025 first nine months</t>
  </si>
  <si>
    <t>Apple FY2026 Q3 Form 10-Q, PDF p. 4, 2025 nine-month comparative</t>
  </si>
  <si>
    <t>FY2025 Q4 EPS and shares</t>
  </si>
  <si>
    <t>Apple FY2025 Q4 Consolidated Financial Statements, PDF p. 1</t>
  </si>
  <si>
    <t>Total non-current assets</t>
  </si>
  <si>
    <t>Apple FY2026 Q3 Form 10-Q, PDF p. 4, 2026 three-month actual</t>
  </si>
  <si>
    <t>Q4 net sales check</t>
  </si>
  <si>
    <t>FY2025 full year 416,161 - first nine months 313,695 = 102,466</t>
  </si>
  <si>
    <t>Q4 cost of sales check</t>
  </si>
  <si>
    <t>FY2025 full year 220,960 - first nine months 166,835 = 54,125</t>
  </si>
  <si>
    <t>FY2026 Q4 draft forecast</t>
  </si>
  <si>
    <t>A1 Income Statement tab, copied from AAPL_FY2026_Q4_IS_Forecast_Draft.xlsx, IS Forecast</t>
  </si>
  <si>
    <t>Forecast method rationale</t>
  </si>
  <si>
    <t>A/R, vendor receivables, A/P, deferred revenue</t>
  </si>
  <si>
    <t>Use FY2025 Q4 ending turnover with A's Q4 sales or cost of sales to capture same-season working capital.</t>
  </si>
  <si>
    <t>Inventory</t>
  </si>
  <si>
    <t>Total assets</t>
  </si>
  <si>
    <t>Use FY2026 Q3 ending turnover because the current inventory balance is unusually elevated; historical Q4 ratio would force an unsupported sharp reduction.</t>
  </si>
  <si>
    <t>Other balance-sheet lines</t>
  </si>
  <si>
    <t>Carry FY2026 Q3 balances forward where no standalone Q4 debt, capex, or OCI forecast is available; these are provisional assumptions.</t>
  </si>
  <si>
    <t>Equity movements</t>
  </si>
  <si>
    <t>Carry FY2026 Q3 declared dividends, recognized repurchases, RSU adjustment, and net APIC movement; all are linked to the equity statement.</t>
  </si>
  <si>
    <t>Cash plug</t>
  </si>
  <si>
    <t>Solve cash as total liabilities and equity less all other forecast assets; zero difference is an accounting identity, not cash-flow validation.</t>
  </si>
  <si>
    <t>Income statement link</t>
  </si>
  <si>
    <t>B drivers link to the copied A forecast formulas, so edits to A assumptions recalculate B revenue, cost, net income, EPS, and balance sheet.</t>
  </si>
  <si>
    <t>Current liabilities</t>
  </si>
  <si>
    <t>Accounts payable</t>
  </si>
  <si>
    <t>Q4 cost of sales / selected A/P turnover</t>
  </si>
  <si>
    <t>Other current liabilities</t>
  </si>
  <si>
    <t>Deferred revenue</t>
  </si>
  <si>
    <t>Q4 revenue / selected revenue-to-deferred-revenue ratio</t>
  </si>
  <si>
    <t>Commercial paper</t>
  </si>
  <si>
    <t>Carry forward FY2026 Q3; review issuance and maturities</t>
  </si>
  <si>
    <t>Current term debt</t>
  </si>
  <si>
    <t>Carry forward FY2026 Q3; review maturities</t>
  </si>
  <si>
    <t>Total current liabilities</t>
  </si>
  <si>
    <t>Apple Segmented Revenue Forecast Build</t>
  </si>
  <si>
    <t>USD millions; yellow cells are editable assumptions. FY2026 Q4 is built bottom-up by product category, then flows into the annual income statement and valuation.</t>
  </si>
  <si>
    <t>Non-current liabilities</t>
  </si>
  <si>
    <t>FY2026 Q4 bottom-up revenue build</t>
  </si>
  <si>
    <t>Long-term debt</t>
  </si>
  <si>
    <t>Other non-current liabilities</t>
  </si>
  <si>
    <t>Total non-current liabilities</t>
  </si>
  <si>
    <t>Category</t>
  </si>
  <si>
    <t>Q4 Growth Assumption</t>
  </si>
  <si>
    <t>FY2026 Q1-Q3 Actual</t>
  </si>
  <si>
    <t>FY2026 Annual Forecast</t>
  </si>
  <si>
    <t>Basis / rationale</t>
  </si>
  <si>
    <t>Primary source</t>
  </si>
  <si>
    <t>iPhone</t>
  </si>
  <si>
    <t>Total liabilities</t>
  </si>
  <si>
    <t>Management outlook: reported growth in the mid-teens; use the low end of the range.</t>
  </si>
  <si>
    <t>Apple FY2026 Q3 results / earnings call</t>
  </si>
  <si>
    <t>Mac</t>
  </si>
  <si>
    <t>Shareholders' equity</t>
  </si>
  <si>
    <t>Common stock and additional paid-in capital</t>
  </si>
  <si>
    <t>Positive demand momentum, moderated for supply constraints.</t>
  </si>
  <si>
    <t>iPad</t>
  </si>
  <si>
    <t>Recent weakness and supply constraints support a slightly negative base case.</t>
  </si>
  <si>
    <t>Wearables, Home and Accessories</t>
  </si>
  <si>
    <t>Use a flat base case after a broadly stable recent quarter.</t>
  </si>
  <si>
    <t>Products total</t>
  </si>
  <si>
    <t>FY2026 Q3 APIC plus Q3 net APIC movement; linked to A2 Q4 Drivers.</t>
  </si>
  <si>
    <t>Retained earnings / accumulated deficit</t>
  </si>
  <si>
    <t>Q3 retained earnings + A net income - declared dividends - recognized buybacks + RSU adjustment.</t>
  </si>
  <si>
    <t>Accumulated other comprehensive loss</t>
  </si>
  <si>
    <t>Derived from the four product categories above.</t>
  </si>
  <si>
    <t>Formula-derived</t>
  </si>
  <si>
    <t>Total shareholders' equity</t>
  </si>
  <si>
    <t>Apple Annual Income Statement Forecast</t>
  </si>
  <si>
    <t>Strong double-digit structural growth; team-selected base case.</t>
  </si>
  <si>
    <t>Total liabilities and shareholders' equity</t>
  </si>
  <si>
    <t>Income Statement Forecast Assumptions</t>
  </si>
  <si>
    <t>Apple FY2026 Q3 results / team assumption</t>
  </si>
  <si>
    <t>Historical rates are shown for calibration. Detailed revenue-growth inputs are yellow on C1 Revenue Build; other yellow cells below remain editable base-case assumptions.</t>
  </si>
  <si>
    <t>USD millions, except per-share data; FY2026 combines Q1-Q3 actuals with a bottom-up Q4 category forecast. FY2027-FY2032 Products and Services totals are driven by C1 Revenue Build.</t>
  </si>
  <si>
    <t>Income statement item</t>
  </si>
  <si>
    <t>Fiscal year</t>
  </si>
  <si>
    <t>FY2025 Actual</t>
  </si>
  <si>
    <t>Balance sheet difference</t>
  </si>
  <si>
    <t>Products growth (derived)</t>
  </si>
  <si>
    <t>Services growth (derived)</t>
  </si>
  <si>
    <t>Product gross margin</t>
  </si>
  <si>
    <t>R&amp;D / sales</t>
  </si>
  <si>
    <t>SG&amp;A / sales</t>
  </si>
  <si>
    <t>Other income / sales</t>
  </si>
  <si>
    <t>FY2027 Forecast</t>
  </si>
  <si>
    <t>Diluted share change</t>
  </si>
  <si>
    <t>FY2028 Forecast</t>
  </si>
  <si>
    <t>Basis</t>
  </si>
  <si>
    <t>FY2029 Forecast</t>
  </si>
  <si>
    <t>Forecast rationale</t>
  </si>
  <si>
    <t>FY2030 Forecast</t>
  </si>
  <si>
    <t>FY2031 Forecast</t>
  </si>
  <si>
    <t>FY2032 Forecast</t>
  </si>
  <si>
    <t>FY2021 Actual</t>
  </si>
  <si>
    <t>Historical actual</t>
  </si>
  <si>
    <t>Historical calibration</t>
  </si>
  <si>
    <t>Bottom-up total; used as the Q4 revenue forecast.</t>
  </si>
  <si>
    <t>Management guidance check</t>
  </si>
  <si>
    <t>9.0% to 11.0%</t>
  </si>
  <si>
    <t>Supplied AAPL financials; Apple annual filings</t>
  </si>
  <si>
    <t>FY2022 Actual</t>
  </si>
  <si>
    <t>Forecast status</t>
  </si>
  <si>
    <t>FY2023 Actual</t>
  </si>
  <si>
    <t>FY2024 Actual</t>
  </si>
  <si>
    <t>FY2026 Forecast</t>
  </si>
  <si>
    <t>Apple guided September-quarter total revenue growth to 9%-11% year over year.</t>
  </si>
  <si>
    <t>Annual revenue forecast by category</t>
  </si>
  <si>
    <t>FY2026</t>
  </si>
  <si>
    <t>FY2027</t>
  </si>
  <si>
    <t>Cash change vs FY2026 Q3</t>
  </si>
  <si>
    <t>FY2028</t>
  </si>
  <si>
    <t>FY2029</t>
  </si>
  <si>
    <t>FY2030</t>
  </si>
  <si>
    <t>FY2031</t>
  </si>
  <si>
    <t>FY2032</t>
  </si>
  <si>
    <t>Sources and basis</t>
  </si>
  <si>
    <t>Apple FY2025 Form 10-K, PDF p. 34 (2025-09-27)</t>
  </si>
  <si>
    <t>Apple FY2026 Q3 Form 10-Q, PDF p. 6 (2026-06-27)</t>
  </si>
  <si>
    <t>Intangible assets reclassification</t>
  </si>
  <si>
    <t>FY2026 Q3 Form 10-Q, PDF pp. 6, 13: FY2025 non-current intangibles 11,093 + other non-current assets 72,634 = 83,727</t>
  </si>
  <si>
    <t>Forecast note</t>
  </si>
  <si>
    <t>Q3 carry-forward amounts are starting assumptions. Editable inputs are yellow on A2 Q4 Drivers. Review the cash plug separately.</t>
  </si>
  <si>
    <t>Equity assumptions</t>
  </si>
  <si>
    <t>FY2026 Q3 Form 10-Q, PDF p. 7, shareholders equity statement; FY2025 Q4 benchmark = FY2025 10-K p. 35 less nine months.</t>
  </si>
  <si>
    <t>Q1-Q3 actual + Q4 forecast</t>
  </si>
  <si>
    <t>Uses the group Q4 model and current-year actual results.</t>
  </si>
  <si>
    <t>Apple FY2026 Q3 Form 10-Q and group Q4 forecast</t>
  </si>
  <si>
    <t>Base case</t>
  </si>
  <si>
    <t>Bottom-up revenue build: iPhone 8.0%, Mac 6.0%, iPad 3.0%, Wearables 5.0%, Services 12.0%. Aggregate Products growth is formula-derived.</t>
  </si>
  <si>
    <t>C1 Revenue Build; Apple FY2026 Q3 results; normalized base case</t>
  </si>
  <si>
    <t>Bottom-up revenue build: iPhone 6.5%, Mac 5.0%, iPad 3.0%, Wearables 4.5%, Services 11.0%. Aggregate Products growth is formula-derived.</t>
  </si>
  <si>
    <t>Bottom-up revenue build: iPhone 5.5%, Mac 4.5%, iPad 3.0%, Wearables 4.0%, Services 10.0%. Aggregate Products growth is formula-derived.</t>
  </si>
  <si>
    <t>Bottom-up revenue build: iPhone 5.0%, Mac 4.0%, iPad 2.5%, Wearables 3.5%, Services 9.0%. Aggregate Products growth is formula-derived.</t>
  </si>
  <si>
    <t>Bottom-up revenue build: iPhone 4.5%, Mac 3.5%, iPad 2.5%, Wearables 3.5%, Services 8.0%. Aggregate Products growth is formula-derived.</t>
  </si>
  <si>
    <t>Income Statement Outputs for Balance Sheet Forecast</t>
  </si>
  <si>
    <t>Use these linked annual values for FY2027-FY2032 balance-sheet drivers; FY2026 year-end balances equal the Q4 ending balance and should not be summed across quarters</t>
  </si>
  <si>
    <t>Metric</t>
  </si>
  <si>
    <t>Bottom-up revenue build: iPhone 4.0%, Mac 3.0%, iPad 2.0%, Wearables 3.0%, Services 7.0%. Aggregate Products growth is formula-derived.</t>
  </si>
  <si>
    <t>Suggested balance-sheet use</t>
  </si>
  <si>
    <t>Source references</t>
  </si>
  <si>
    <t>Driver rationale</t>
  </si>
  <si>
    <t>Apple FY2026 Q3 results</t>
  </si>
  <si>
    <t>Forecast approach</t>
  </si>
  <si>
    <t>Evidence and source</t>
  </si>
  <si>
    <t>Apple FY2026 Q3 Form 10-Q</t>
  </si>
  <si>
    <t>Products growth</t>
  </si>
  <si>
    <t>Aggregate Products growth is derived from separate iPhone, Mac, iPad and Wearables assumptions on C1 Revenue Build.</t>
  </si>
  <si>
    <t>Apple category revenue disclosures; team base-case assumptions</t>
  </si>
  <si>
    <t>Apple FY2025 consolidated financial statements</t>
  </si>
  <si>
    <t>https://www.apple.com/newsroom/pdfs/fy2025-q4/FY25_Q4_Consolidated_Financial_Statements.pdf</t>
  </si>
  <si>
    <t>Services growth remains a separate category assumption on C1 Revenue Build and declines from 12.0% to 7.0%.</t>
  </si>
  <si>
    <t>Apple Services history; team base-case assumptions</t>
  </si>
  <si>
    <t>Gross margins</t>
  </si>
  <si>
    <t>Increase Product margin gradually from 39.4% to 40.4%; keep Services margin near 76%. The rising Services mix lifts total gross margin without a step change.</t>
  </si>
  <si>
    <t>Segment margin history and FY2026 quarterly results</t>
  </si>
  <si>
    <t>Keep R&amp;D above 9% of sales to support product and AI investment; allow SG&amp;A to decline gradually as a percentage of sales.</t>
  </si>
  <si>
    <t>Historical R&amp;D and SG&amp;A ratios</t>
  </si>
  <si>
    <t>Other income and tax</t>
  </si>
  <si>
    <t>Hold other income near 0.2% of sales and use a 16.5% tax rate. The FY2024 tax rate is not used because it included an unusual tax item.</t>
  </si>
  <si>
    <t>FY2025 filing and current-year guidance</t>
  </si>
  <si>
    <t>Diluted shares</t>
  </si>
  <si>
    <t>Reduce diluted shares by 2.0% per year. This is conservative relative to recent declines of roughly 2.6%-3.2% and remains consistent with continued repurchases.</t>
  </si>
  <si>
    <t>FY2021-FY2026 share-count history</t>
  </si>
  <si>
    <t>A/R and deferred revenue turnover</t>
  </si>
  <si>
    <t>Detailed annual growth assumptions</t>
  </si>
  <si>
    <t>Largest product line; normalize gradually after a strong FY2026 cycle.</t>
  </si>
  <si>
    <t>Moderate growth with a mature installed base and normal product cycles.</t>
  </si>
  <si>
    <t>Conservative growth after a softer FY2026 Q4 base case.</t>
  </si>
  <si>
    <t>Return to modest growth, then converge toward a mature profile.</t>
  </si>
  <si>
    <t>Remain faster-growing than Products, with gradual deceleration as the base expands.</t>
  </si>
  <si>
    <t>Source references and model controls</t>
  </si>
  <si>
    <t>Apple FY2026 Q1 consolidated financial statements</t>
  </si>
  <si>
    <t>https://www.apple.com/newsroom/pdfs/fy2026-q1/FY26_Q1_Consolidated_Financial_Statements.pdf</t>
  </si>
  <si>
    <t>Inventory, vendor receivables and A/P turnover</t>
  </si>
  <si>
    <t>Apple FY2026 Q2 consolidated financial statements</t>
  </si>
  <si>
    <t>https://www.apple.com/newsroom/pdfs/fy2026-q2/FY26_Q2_Consolidated_Financial_Statements.pdf</t>
  </si>
  <si>
    <t>Apple FY2026 Q3 consolidated financial statements</t>
  </si>
  <si>
    <t>https://www.apple.com/newsroom/pdfs/fy2026-q3/FY26_Q3_Consolidated_Financial_Statements.pdf</t>
  </si>
  <si>
    <t>Profitability and retained operating capacity</t>
  </si>
  <si>
    <t>Apple FY2026 Q3 earnings call transcript</t>
  </si>
  <si>
    <t>Operating profitability and valuation</t>
  </si>
  <si>
    <t>Control: category FY2026 revenue less annual IS revenue</t>
  </si>
  <si>
    <t>Retained earnings roll-forward</t>
  </si>
  <si>
    <t>Control: segmented FY2026 Products less annual IS Products</t>
  </si>
  <si>
    <t>Share-count and repurchase consistency</t>
  </si>
  <si>
    <t>FY2025 Q4 actual</t>
  </si>
  <si>
    <t>Growth assumption</t>
  </si>
  <si>
    <t>FY2026 Q4 forecast</t>
  </si>
  <si>
    <t>Valuation and reasonableness check</t>
  </si>
  <si>
    <t>Wearables</t>
  </si>
  <si>
    <t>Total revenue</t>
  </si>
  <si>
    <t>Growth calibration for operating balances</t>
  </si>
  <si>
    <t>Cost of sales growth</t>
  </si>
  <si>
    <t>Total sales growth</t>
  </si>
  <si>
    <t>FY27</t>
  </si>
  <si>
    <t>FY28</t>
  </si>
  <si>
    <t>FY29</t>
  </si>
  <si>
    <t>Calculated year-over-year change</t>
  </si>
  <si>
    <t>Net margin</t>
  </si>
  <si>
    <t>FY30</t>
  </si>
  <si>
    <t>FY31</t>
  </si>
  <si>
    <t>Profitability and retained earnings review</t>
  </si>
  <si>
    <t>Shared follow-up</t>
  </si>
  <si>
    <t>Annual Balance Sheet Assumptions</t>
  </si>
  <si>
    <t>FY32</t>
  </si>
  <si>
    <t>Agree dividends and share repurchases before completing retained earnings and cash.</t>
  </si>
  <si>
    <t>Model handoff</t>
  </si>
  <si>
    <t>Link to the cells above rather than copying values so later assumption changes flow through.</t>
  </si>
  <si>
    <t>FY2026 balance-sheet base</t>
  </si>
  <si>
    <t>USD millions; FY2026 base uses the forecast 2026 fiscal year-end balance and FY2026 annual income.</t>
  </si>
  <si>
    <t>Use the existing FY2026 Q4 forecast column in B Balance Sheet as the FY2026 year-end starting point.</t>
  </si>
  <si>
    <t>FY2026 Base</t>
  </si>
  <si>
    <t>Year-end ratios and turnover</t>
  </si>
  <si>
    <t>FY2026-FY2032 Annual Balance Sheet</t>
  </si>
  <si>
    <t>Cash / annual sales</t>
  </si>
  <si>
    <t>USD millions; FY2026 is the group Q4 year-end forecast; later-year drivers are on F BS Assumptions.</t>
  </si>
  <si>
    <t>Current marketable securities / sales</t>
  </si>
  <si>
    <t>A/R turnover: annual sales / year-end A/R</t>
  </si>
  <si>
    <t>Discounted Flow to Equity</t>
  </si>
  <si>
    <t>USD millions except per-share values; valuation date is FY2026 fiscal year-end.</t>
  </si>
  <si>
    <t>Valuation assumption</t>
  </si>
  <si>
    <t>Value</t>
  </si>
  <si>
    <t>Cost of equity</t>
  </si>
  <si>
    <t>Specified in Group Project Task 3.</t>
  </si>
  <si>
    <t>Opening common equity</t>
  </si>
  <si>
    <t>Terminal growth rate</t>
  </si>
  <si>
    <t>Assumed steady nominal equity-flow and book-equity growth after FY2032.</t>
  </si>
  <si>
    <t>Closing common equity</t>
  </si>
  <si>
    <t>Valuation shares (million)</t>
  </si>
  <si>
    <t>Q4 FY2026 forecast diluted weighted-average shares; proxy for valuation-date share count.</t>
  </si>
  <si>
    <t>Change in common equity</t>
  </si>
  <si>
    <t>Vendor receivables turnover: COGS / year-end balance</t>
  </si>
  <si>
    <t>AAPL regular-session close</t>
  </si>
  <si>
    <t>Oct 5, 2026 US close; StockAnalysis.com.</t>
  </si>
  <si>
    <t>Inventory turnover: COGS / year-end inventory</t>
  </si>
  <si>
    <t>Flow to equity (NI - change in equity)</t>
  </si>
  <si>
    <t>Other current assets / sales</t>
  </si>
  <si>
    <t>Market price date</t>
  </si>
  <si>
    <t>2026-10-05 US close</t>
  </si>
  <si>
    <t>Dividends</t>
  </si>
  <si>
    <t>Non-current marketable securities / sales</t>
  </si>
  <si>
    <t>Share repurchases</t>
  </si>
  <si>
    <t>PP&amp;E / sales</t>
  </si>
  <si>
    <t>Intangible assets / sales</t>
  </si>
  <si>
    <t>Distribution consistency difference</t>
  </si>
  <si>
    <t>Other non-current assets / sales</t>
  </si>
  <si>
    <t>A/P turnover: COGS / year-end A/P</t>
  </si>
  <si>
    <t>Discount factor</t>
  </si>
  <si>
    <t>Deferred revenue turnover: sales / year-end balance</t>
  </si>
  <si>
    <t>Other current liabilities / sales</t>
  </si>
  <si>
    <t>FY2033 normalized net income</t>
  </si>
  <si>
    <t>Present value of flow to equity</t>
  </si>
  <si>
    <t>Other non-current liabilities / sales</t>
  </si>
  <si>
    <t>FY2033 sustainable equity growth</t>
  </si>
  <si>
    <t>FY2033 sustainable FTE</t>
  </si>
  <si>
    <t>Capital allocation and financing</t>
  </si>
  <si>
    <t>Terminal value at FY2032</t>
  </si>
  <si>
    <t>Annual debt balance change</t>
  </si>
  <si>
    <t>Annual dividend growth</t>
  </si>
  <si>
    <t>Present value of terminal value</t>
  </si>
  <si>
    <t>Dividends declared, FY2026 base</t>
  </si>
  <si>
    <t>PV of FY2027-FY2032 FTE</t>
  </si>
  <si>
    <t>Share repurchases recognized, FY2026 base</t>
  </si>
  <si>
    <t>Equity value</t>
  </si>
  <si>
    <t>Diluted share change from A model</t>
  </si>
  <si>
    <t>Value per share</t>
  </si>
  <si>
    <t>Upside / (downside)</t>
  </si>
  <si>
    <t>Terminal value share of total</t>
  </si>
  <si>
    <t>Terminal growth sensitivity</t>
  </si>
  <si>
    <t>Why these assumptions are used</t>
  </si>
  <si>
    <t>Working capital</t>
  </si>
  <si>
    <t>Terminal growth</t>
  </si>
  <si>
    <t>FTE value / share</t>
  </si>
  <si>
    <t>Use FY2026 annual flows divided by the forecast year-end 2026 balance. Hold the resulting turnover ratios for 2027-2032; this avoids using quarterly flows against annual balances.</t>
  </si>
  <si>
    <t>Operating assets and liabilities</t>
  </si>
  <si>
    <t>Scale cash, investments, PP&amp;E, intangibles and other balances with annual sales; use COGS for inventory and vendor payables/receivables.</t>
  </si>
  <si>
    <t>Financing</t>
  </si>
  <si>
    <t>Amortize commercial paper and term debt balances by 3% annually; no new issuance is assumed. This lowers debt/equity over time.</t>
  </si>
  <si>
    <t>Equity and cash</t>
  </si>
  <si>
    <t>Keep APIC and AOCI flat after FY2026 for clean-surplus valuation. Set cash to the FY2026 cash/sales ratio; repurchases absorb residual distributable cash.</t>
  </si>
  <si>
    <t>Net margin %</t>
  </si>
  <si>
    <t>FY2026 declared dividends = 11,733 for Q1-Q3 plus the Q4 estimate 3,998. Grow 3% per year thereafter.</t>
  </si>
  <si>
    <t>Share count</t>
  </si>
  <si>
    <t>Use A model diluted shares, falling 2% per year. The balance-sheet model reports the implied average buyback price as a consistency check.</t>
  </si>
  <si>
    <t>FY2026 buybacks</t>
  </si>
  <si>
    <t>FY2026 recognized repurchases = 62,242 for Q1-Q3 plus the Q4 estimate 25,949. Annual later-year buybacks are calculated, not assumed.</t>
  </si>
  <si>
    <t>Apple FY2026 Q3 Form 10-Q equity statement and the supplied integrated forecast. https://www.sec.gov/Archives/edgar/data/320193/000032019326000020/aapl-20260627.htm</t>
  </si>
  <si>
    <t>Method note</t>
  </si>
  <si>
    <t>FTE equals net income less the increase in common book equity. In this clean-surplus model it also equals dividends plus cash-sweep repurchases.</t>
  </si>
  <si>
    <t>Terminal note</t>
  </si>
  <si>
    <t>FY2033 net income and book equity growth normalize immediately to the stated terminal rate; this is a material valuation assumption.</t>
  </si>
  <si>
    <t>Market source</t>
  </si>
  <si>
    <t>https://stockanalysis.com/stocks/aapl/statistics/</t>
  </si>
  <si>
    <t>Diluted EPS growth</t>
  </si>
  <si>
    <t>Forecast checks</t>
  </si>
  <si>
    <t>Gross margin check</t>
  </si>
  <si>
    <t>Operating income check</t>
  </si>
  <si>
    <t>Shareholders equity</t>
  </si>
  <si>
    <t>Net income check</t>
  </si>
  <si>
    <t>FY2026 annual revenue bridge check</t>
  </si>
  <si>
    <t>Total shareholders equity</t>
  </si>
  <si>
    <t>Total liabilities and shareholders equity</t>
  </si>
  <si>
    <t>Residual Income to Common Equity</t>
  </si>
  <si>
    <t>USD millions except per-share values; same 8% cost of equity and terminal growth as the FTE model.</t>
  </si>
  <si>
    <t>Capital allocation and audit</t>
  </si>
  <si>
    <t>Dividends declared</t>
  </si>
  <si>
    <t>Target ending retained earnings</t>
  </si>
  <si>
    <t>Equity charge at 8%</t>
  </si>
  <si>
    <t>Share repurchases: cash sweep</t>
  </si>
  <si>
    <t>Implied average buyback price (USD/share)</t>
  </si>
  <si>
    <t>Residual income</t>
  </si>
  <si>
    <t>TV:</t>
  </si>
  <si>
    <t>Present value of residual income</t>
  </si>
  <si>
    <t>PV:</t>
  </si>
  <si>
    <t>Flow to equity / distributions</t>
  </si>
  <si>
    <t>sum</t>
  </si>
  <si>
    <t>Clean-surplus difference</t>
  </si>
  <si>
    <t>FY2033 equity charge</t>
  </si>
  <si>
    <t>FY2033 residual income</t>
  </si>
  <si>
    <t>Terminal value of residual income</t>
  </si>
  <si>
    <t>Present value of terminal RI</t>
  </si>
  <si>
    <t>PV of FY2027-FY2032 RI</t>
  </si>
  <si>
    <t>Relative Valuation - Guideline Companies</t>
  </si>
  <si>
    <t>Cash and repurchase status</t>
  </si>
  <si>
    <t>Forward multiples captured 2026-10-06 Singapore after the Oct 5 US regular-session close; Forward P/E is applied to FY2027 earnings, while EV/EBIT is applied to FY2026 EBIT to maintain consistency with its current/trailing basis.</t>
  </si>
  <si>
    <t>FY2026 closing common equity</t>
  </si>
  <si>
    <t>Guideline Companies</t>
  </si>
  <si>
    <t>Ticker</t>
  </si>
  <si>
    <t>Forward P/E</t>
  </si>
  <si>
    <t>EV/EBIT</t>
  </si>
  <si>
    <t>Selection rationale</t>
  </si>
  <si>
    <t>Microsoft</t>
  </si>
  <si>
    <t>MSFT</t>
  </si>
  <si>
    <t>Large integrated device, software and subscription ecosystem; stronger enterprise mix.</t>
  </si>
  <si>
    <t>https://stockanalysis.com/stocks/msft/statistics/</t>
  </si>
  <si>
    <t>Alphabet</t>
  </si>
  <si>
    <t>GOOGL</t>
  </si>
  <si>
    <t>Mobile ecosystem, app distribution, digital services and advertising; less hardware.</t>
  </si>
  <si>
    <t>https://stockanalysis.com/stocks/googl/statistics/</t>
  </si>
  <si>
    <t>Difference from FTE value</t>
  </si>
  <si>
    <t>Interest-bearing debt / ending equity</t>
  </si>
  <si>
    <t>Identity note</t>
  </si>
  <si>
    <t>The two absolute methods match because forecast common equity follows clean surplus and the same FY2033 net income/book-equity terminal bridge is used.</t>
  </si>
  <si>
    <t>Class formula source</t>
  </si>
  <si>
    <t>ACC3705 Equity 4/5 lecture notes: RI = NI - 8% x beginning common equity; value = beginning common equity + PV of RI.</t>
  </si>
  <si>
    <t>Meta Platforms</t>
  </si>
  <si>
    <t>META</t>
  </si>
  <si>
    <t>Consumer platform, mobile engagement, digital monetization and AI investment; ad-heavy.</t>
  </si>
  <si>
    <t>https://stockanalysis.com/stocks/meta/statistics/</t>
  </si>
  <si>
    <t>Samsung Electronics</t>
  </si>
  <si>
    <t>Annual sales / ending assets</t>
  </si>
  <si>
    <t>A strong operating comparable given its direct competition with Apple in smartphones and consumer electronics</t>
  </si>
  <si>
    <t>Samsung Electronics (KRX:005930) Financial Ratios</t>
  </si>
  <si>
    <t>COGS / ending inventory</t>
  </si>
  <si>
    <t>COGS / ending A/P</t>
  </si>
  <si>
    <t>Sony Group</t>
  </si>
  <si>
    <t>SONY</t>
  </si>
  <si>
    <t>combines branded hardware with digital content and services</t>
  </si>
  <si>
    <r>
      <rPr>
        <color rgb="FF1155CC"/>
        <u/>
      </rPr>
      <t>Sony Group (SONY) Financial Ratios</t>
    </r>
  </si>
  <si>
    <t>Annual ratio basis: FY2026 full-year flows divided by the FY2026 Q4 ending balance; later years use year-end balances.</t>
  </si>
  <si>
    <t>Buybacks are a residual distribution needed to maintain the cash target; this is a forecast policy, not announced company guidance.</t>
  </si>
  <si>
    <t>Peer median</t>
  </si>
  <si>
    <t>Year</t>
  </si>
  <si>
    <t>Apple Forward P/E</t>
  </si>
  <si>
    <t>Apple Valuation Summary - FY2026 Year-End</t>
  </si>
  <si>
    <t>Peer Median Forward P/E</t>
  </si>
  <si>
    <t>Apple Premium</t>
  </si>
  <si>
    <t>Apple EV/EBIT</t>
  </si>
  <si>
    <t>Peer Median EV/EBIT</t>
  </si>
  <si>
    <t>Academic base case; intrinsic values in USD/share. Market comparison uses the Oct 5, 2026 US close.</t>
  </si>
  <si>
    <t>Source: MorningStar</t>
  </si>
  <si>
    <t>Approach</t>
  </si>
  <si>
    <t>Fair value / share</t>
  </si>
  <si>
    <t>Vs. market price</t>
  </si>
  <si>
    <t>Equity value (USD m)</t>
  </si>
  <si>
    <t>What drives the result</t>
  </si>
  <si>
    <t>Discounted flow to equity</t>
  </si>
  <si>
    <t>L. Q9 Valuation vs Market: assumptions check, market implied rates and benchmarks</t>
  </si>
  <si>
    <t>Black = formula; green = link to another worksheet in this file; blue = external input (source in column C or D). USD millions unless stated.</t>
  </si>
  <si>
    <t>1. Model inputs (linked to H Flow to Equity)</t>
  </si>
  <si>
    <t>t</t>
  </si>
  <si>
    <t>8% cost of equity; 3% terminal growth; buybacks cash sweep.</t>
  </si>
  <si>
    <t>5-year average premium</t>
  </si>
  <si>
    <t>Apply peer multiples to Apple</t>
  </si>
  <si>
    <t>Apple FY2027 net income</t>
  </si>
  <si>
    <t>FY2032 closing common equity</t>
  </si>
  <si>
    <t>Clean-surplus book equity plus discounted residual income.</t>
  </si>
  <si>
    <t>Peer forward P/E</t>
  </si>
  <si>
    <t>FY2027 diluted shares (million)</t>
  </si>
  <si>
    <t>AAPL close, 5 Oct 2026 (USD)</t>
  </si>
  <si>
    <t>Cost of equity (given in project brief)</t>
  </si>
  <si>
    <t>Terminal growth (group assumption)</t>
  </si>
  <si>
    <t>Peer median forward P/E adjusted for Apple’s historical valuation premium and applied to FY2027 earnings.</t>
  </si>
  <si>
    <t>2. Residual income value per share (equals FTE under clean surplus)</t>
  </si>
  <si>
    <t>Peer EV/EBIT</t>
  </si>
  <si>
    <t>Value per share at base cost of equity and growth</t>
  </si>
  <si>
    <t>Peer median EV/EBIT adjusted for Apple's historical premium, applied to FY2026 EBIT and converted to equity value using FY2026 year-end net cash and debt.</t>
  </si>
  <si>
    <t>AAPL market price</t>
  </si>
  <si>
    <t>US regular-session close on Oct 5, 2026; nine days after FY2026 forecast fiscal year-end.</t>
  </si>
  <si>
    <t>Illustrative stance</t>
  </si>
  <si>
    <t>Check: agrees with K Valuation Summary B6</t>
  </si>
  <si>
    <t>vs market price</t>
  </si>
  <si>
    <t>3. Sensitivity of value per share (USD)</t>
  </si>
  <si>
    <t>Cost of equity (rows) / terminal growth (columns)</t>
  </si>
  <si>
    <t>Mechanical comparison for the coursework; not a standalone investment instruction.</t>
  </si>
  <si>
    <t>Value drivers and diagnostic ratios</t>
  </si>
  <si>
    <t>FY2026 annual sales</t>
  </si>
  <si>
    <t>FY2032 annual sales</t>
  </si>
  <si>
    <t>FY2032 net margin</t>
  </si>
  <si>
    <t>FY2026 ending debt / equity</t>
  </si>
  <si>
    <t>FY2032 ending debt / equity</t>
  </si>
  <si>
    <t>Peer median forward P/E</t>
  </si>
  <si>
    <t>AAPL quoted forward P/E</t>
  </si>
  <si>
    <t>Peer median forward EV/EBIT</t>
  </si>
  <si>
    <t>AAPL quoted EV/EBIT</t>
  </si>
  <si>
    <t>FTE terminal value weight</t>
  </si>
  <si>
    <t>Interpretation and key limitations</t>
  </si>
  <si>
    <t>P/E implied equity value</t>
  </si>
  <si>
    <t>Market premium</t>
  </si>
  <si>
    <t>Base case range (CoE 7.5% to 8.5%, g 2.5% to 3.5%): low</t>
  </si>
  <si>
    <t>Apple currently trades at 36.17x quoted forward earnings versus a 22.97x selected-peer median. This explains much of the peer-valuation gap.</t>
  </si>
  <si>
    <t>Absolute-method assumptions</t>
  </si>
  <si>
    <t>The 8% required cost of equity and 3% terminal growth set the long-run capitalization rate. A different growth assumption materially changes the result.</t>
  </si>
  <si>
    <t>Terminal bridge</t>
  </si>
  <si>
    <t>Forecast FY2032 growth has not completely converged to 3%; FY2033 is normalized to 3% in the terminal calculation.</t>
  </si>
  <si>
    <t>Cash and distributions</t>
  </si>
  <si>
    <t>Annual buybacks are a residual amount that holds cash at a constant sales ratio. They are a model policy, not an announced Apple program.</t>
  </si>
  <si>
    <t>Share denominator</t>
  </si>
  <si>
    <t>Base case range: high</t>
  </si>
  <si>
    <t>Forward P/E uses FY2027 forecast diluted EPS, while EV/EBIT uses FY2026 Q4 forecast diluted weighted-average shares as a proxy for valuation-date shares because actual FY2026 year-end basic shares are not yet available.</t>
  </si>
  <si>
    <t>Market timing</t>
  </si>
  <si>
    <t>Valuation is at FY2026 fiscal year-end; the comparison price is the latest prior US close at the time of preparation, Oct 5, 2026.</t>
  </si>
  <si>
    <t>Source links</t>
  </si>
  <si>
    <t>Apple filings and the supplied forecast are in the original tabs; peer and market sources are linked on J Relative Valuation and H Flow to Equity.</t>
  </si>
  <si>
    <t>Bull case (CoE 8%, g 4%)</t>
  </si>
  <si>
    <t>Forward P/E historical premium</t>
  </si>
  <si>
    <t>Value added by raising g from 3% to 4% at CoE 8%</t>
  </si>
  <si>
    <t>P/E fair value per share</t>
  </si>
  <si>
    <t>4. Market implied assumptions (solved with Goal Seek: value = market price)</t>
  </si>
  <si>
    <t>EV/EBIT historical premium</t>
  </si>
  <si>
    <t>Implied rate</t>
  </si>
  <si>
    <t>Value at implied rate</t>
  </si>
  <si>
    <t>Market price</t>
  </si>
  <si>
    <t>Difference</t>
  </si>
  <si>
    <t>Implied terminal growth at CoE 8%</t>
  </si>
  <si>
    <t>Target EV/EBIT</t>
  </si>
  <si>
    <t>Apple FY2026 EBIT</t>
  </si>
  <si>
    <t>Implied cost of equity at g 3%</t>
  </si>
  <si>
    <t>EV/EBIT implied equity value (premium)</t>
  </si>
  <si>
    <t>EV/EBIT fair value per share</t>
  </si>
  <si>
    <t>Growth increase needed (percentage points)</t>
  </si>
  <si>
    <t>AAPL Oct 5 close</t>
  </si>
  <si>
    <t>Cost of equity decrease needed (percentage points)</t>
  </si>
  <si>
    <t>P/E upside / (downside)</t>
  </si>
  <si>
    <t>5. CAPM check of the cost of equity</t>
  </si>
  <si>
    <t>10 year Treasury yield, nominal, 5 Oct 2026</t>
  </si>
  <si>
    <t>FRED series DGS10</t>
  </si>
  <si>
    <t>Apple beta (5 year monthly)</t>
  </si>
  <si>
    <t>EV/EBIT upside / (downside)</t>
  </si>
  <si>
    <t>Multiple choice and comparability</t>
  </si>
  <si>
    <t>Yahoo Finance key statistics, accessed 19 Oct 2026</t>
  </si>
  <si>
    <t>Implied equity risk premium, 1 Oct 2026 (headline)</t>
  </si>
  <si>
    <t>Damodaran, ERPbymonth.xlsx, T12m with sustainable payout</t>
  </si>
  <si>
    <t>CAPM cost of equity</t>
  </si>
  <si>
    <t>Directly capitalizes FY2027 expected net income; useful because Apple and all five peers have positive earnings.</t>
  </si>
  <si>
    <t>EV/EBIT provides a capital-structure-neutral measure of operating value, and depreciation and amortization are relatively modest for Apple</t>
  </si>
  <si>
    <t>Why not P/B</t>
  </si>
  <si>
    <t>Apple's book equity is materially affected by its long-running share repurchase programme and does not fully reflect internally generated intangible assets such as its brand and ecosystem.</t>
  </si>
  <si>
    <t>Peer limitation</t>
  </si>
  <si>
    <t>No listed company matches Apple device, software and services mix. The cross-sector median reduces, but does not remove, business-mix bias.</t>
  </si>
  <si>
    <t>Value per share at CAPM cost of equity and g 3%</t>
  </si>
  <si>
    <t>Vendor caveat</t>
  </si>
  <si>
    <t>Forward ratios are published vendor figures, not independently recomputed next-twelve-month analyst estimates; numerator/denominator definitions can differ.</t>
  </si>
  <si>
    <t>Historical Peer Forward P/E</t>
  </si>
  <si>
    <t>GOOG</t>
  </si>
  <si>
    <t>Samsung</t>
  </si>
  <si>
    <t>Sony</t>
  </si>
  <si>
    <t>Damodaran ERP version, 1 Oct 2026</t>
  </si>
  <si>
    <t>ERP</t>
  </si>
  <si>
    <t>T12m with sustainable payout (headline)</t>
  </si>
  <si>
    <t>n.a.</t>
  </si>
  <si>
    <t>T12m</t>
  </si>
  <si>
    <t>T12m with adjusted riskfree rate</t>
  </si>
  <si>
    <t>Smoothed</t>
  </si>
  <si>
    <t>ERP needed for CAPM to equal the given cost of equity</t>
  </si>
  <si>
    <t>Historical Peer EV/EBIT</t>
  </si>
  <si>
    <t>ERP needed for CAPM to equal the implied cost of equity</t>
  </si>
  <si>
    <t>6. Long run nominal growth of the US economy vs terminal growth</t>
  </si>
  <si>
    <t>10 year Treasury yield, inflation indexed, 5 Oct 2026</t>
  </si>
  <si>
    <t>FRED series DFII10</t>
  </si>
  <si>
    <t>Expected inflation (breakeven)</t>
  </si>
  <si>
    <t>Longer run real GDP growth, FOMC median, 16 Sep 2026</t>
  </si>
  <si>
    <t>FRED series GDPC1MDLR</t>
  </si>
  <si>
    <t>Long run nominal growth of the economy</t>
  </si>
  <si>
    <t>Group terminal growth minus economy growth</t>
  </si>
  <si>
    <t>Company</t>
  </si>
  <si>
    <t>Apple</t>
  </si>
  <si>
    <t>https://www.morningstar.com/stocks/xnas/aapl/valuation</t>
  </si>
  <si>
    <t>Market implied growth minus economy growth</t>
  </si>
  <si>
    <t>7. Relative valuation with and without Apple's historical premium (linked to J Relative Valuation)</t>
  </si>
  <si>
    <t>Peer median EV/EBIT</t>
  </si>
  <si>
    <t>https://www.morningstar.com/stocks/xnas/msft/valuation</t>
  </si>
  <si>
    <t>5 year average P/E premium</t>
  </si>
  <si>
    <t>5 year average EV/EBIT premium</t>
  </si>
  <si>
    <t>Alphabet Class C</t>
  </si>
  <si>
    <t>https://www.morningstar.com/stocks/xnas/goog/valuation</t>
  </si>
  <si>
    <t>FY2027 net income</t>
  </si>
  <si>
    <t>FY2026 EBIT</t>
  </si>
  <si>
    <t>Meta</t>
  </si>
  <si>
    <t>https://www.morningstar.com/stocks/xnas/meta/valuation</t>
  </si>
  <si>
    <t>FY2026 cash and securities less debt</t>
  </si>
  <si>
    <t>https://www.morningstar.com/stocks/xkrx/005930/valuation</t>
  </si>
  <si>
    <t>Same items as J Relative Valuation B30</t>
  </si>
  <si>
    <t>Method</t>
  </si>
  <si>
    <t>With premium</t>
  </si>
  <si>
    <t>vs market</t>
  </si>
  <si>
    <t>Without premium</t>
  </si>
  <si>
    <t>Forward P/E (FY2027 earnings)</t>
  </si>
  <si>
    <t>https://www.morningstar.com/stocks/xnys/sony/valuation</t>
  </si>
  <si>
    <t>Historical Alphabet multiples use Class C (GOOG), while current multiples use Class A (GOOGL).</t>
  </si>
  <si>
    <t>Samsung’s 2023 multiples are unavailable; the 2023 peer medians therefore use the other four companies.</t>
  </si>
  <si>
    <t>EV/EBIT (FY2026 EBIT)</t>
  </si>
  <si>
    <t>FTE / RI, for reference</t>
  </si>
  <si>
    <t>Check: with premium values equal J Relative Valuation B26 and B31</t>
  </si>
  <si>
    <t>8. Market multiples vs Apple's own history</t>
  </si>
  <si>
    <t>AAPL quoted forward P/E, Oct 2026</t>
  </si>
  <si>
    <t>AAPL average forward P/E, 2021 to 2025</t>
  </si>
  <si>
    <t>9. External benchmarks (reality check of forecasts)</t>
  </si>
  <si>
    <t>Group model</t>
  </si>
  <si>
    <t>Benchmark</t>
  </si>
  <si>
    <t>FY2026 revenue (USD bn)</t>
  </si>
  <si>
    <t>LSEG I/B/E/S mean, 2 Oct 2026</t>
  </si>
  <si>
    <t>FY2026 diluted EPS (USD)</t>
  </si>
  <si>
    <t>FY2027 revenue (USD bn)</t>
  </si>
  <si>
    <t>FY2027 diluted EPS (USD)</t>
  </si>
  <si>
    <t>Revenue CAGR FY2025 to FY2030</t>
  </si>
  <si>
    <t>Morningstar, 7 Aug 2026</t>
  </si>
  <si>
    <t>FY2025 iPhone revenue, actual (USD m)</t>
  </si>
  <si>
    <t>Apple FY2025 Form 10-K</t>
  </si>
  <si>
    <t>iPhone revenue CAGR FY2025 to FY2030</t>
  </si>
  <si>
    <t>Morningstar fair value (USD)</t>
  </si>
  <si>
    <t>Morningstar, 9 Sep 2026</t>
  </si>
  <si>
    <t>LSEG 12 month mean target (USD), range $215 to $405</t>
  </si>
  <si>
    <t>LSEG, 2 Oct 2026, 37 analysts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</si>
</sst>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7">
    <numFmt numFmtId="164" formatCode="#,##0;\(#,##0\);&quot;–&quot;"/>
    <numFmt numFmtId="165" formatCode="0.0%"/>
    <numFmt numFmtId="166" formatCode="#,##0;[Red]\(#,##0\);\-"/>
    <numFmt numFmtId="167" formatCode="#,##0.000"/>
    <numFmt numFmtId="168" formatCode="0.000"/>
    <numFmt numFmtId="169" formatCode="0.00;\(0.00\);&quot;–&quot;"/>
    <numFmt numFmtId="170" formatCode="#,##0.0;[Red]\(#,##0.0\);\-"/>
    <numFmt numFmtId="171" formatCode="0.0%;[Red]\(0.0%\);\-"/>
    <numFmt numFmtId="172" formatCode="0.00;\(0.00\);0.00"/>
    <numFmt numFmtId="173" formatCode="0.0%;\(0.0%\);\-"/>
    <numFmt numFmtId="174" formatCode="#,##0;\(#,##0\);\-"/>
    <numFmt numFmtId="175" formatCode="#,##0.0;\(#,##0.0\);\-"/>
    <numFmt numFmtId="176" formatCode="0.00;\(0.00\);\-"/>
    <numFmt numFmtId="177" formatCode="0.0%;\(0.0%\);&quot;–&quot;"/>
    <numFmt numFmtId="178" formatCode="\$0.00"/>
    <numFmt numFmtId="179" formatCode="#,##0.00;\(#,##0.00\);&quot;–&quot;"/>
    <numFmt numFmtId="180" formatCode="0.00\x"/>
    <numFmt numFmtId="181" formatCode="#,##0.0;(#,##0.0);&quot;-&quot;"/>
    <numFmt numFmtId="182" formatCode="&quot;$&quot;#,##0.00;(&quot;$&quot;#,##0.00);&quot;-&quot;"/>
    <numFmt numFmtId="183" formatCode="0.00%;(0.00%);&quot;-&quot;"/>
    <numFmt numFmtId="184" formatCode="0.00&quot;x&quot;"/>
    <numFmt numFmtId="185" formatCode="&quot;$&quot;#,##0.00;(&quot;$&quot;#,##0.00);&quot;-&quot;"/>
    <numFmt numFmtId="186" formatCode="#,##0.0;(#,##0.0);&quot;-&quot;"/>
    <numFmt numFmtId="187" formatCode="0.00%;(0.00%);&quot;-&quot;"/>
    <numFmt numFmtId="188" formatCode="0.00&quot;x&quot;"/>
    <numFmt numFmtId="189" formatCode="0.00"/>
    <numFmt numFmtId="190" formatCode="#,##0"/>
  </numFmts>
  <fonts count="59">
    <font>
      <sz val="11.0"/>
      <color rgb="FF000000"/>
      <name val="Calibri"/>
      <scheme val="minor"/>
    </font>
    <font>
      <sz val="10.0"/>
      <color rgb="FF1D2733"/>
      <name val="Arial"/>
    </font>
    <font>
      <b/>
      <sz val="15.0"/>
      <color rgb="FF17365D"/>
      <name val="Arial"/>
    </font>
    <font>
      <b/>
      <sz val="14.0"/>
      <color rgb="FFFFFFFF"/>
      <name val="Arial"/>
    </font>
    <font>
      <i/>
      <sz val="10.0"/>
      <color rgb="FF596575"/>
      <name val="Arial"/>
    </font>
    <font>
      <b/>
      <sz val="10.0"/>
      <color rgb="FFFFFFFF"/>
      <name val="Arial"/>
    </font>
    <font>
      <b/>
      <sz val="10.0"/>
      <color rgb="FF17365D"/>
      <name val="Arial"/>
    </font>
    <font>
      <sz val="10.0"/>
      <color rgb="FF1F5AA6"/>
      <name val="Arial"/>
    </font>
    <font>
      <sz val="10.0"/>
      <color rgb="FF00865A"/>
      <name val="Arial"/>
    </font>
    <font>
      <sz val="9.0"/>
      <color rgb="FF596575"/>
      <name val="Arial"/>
    </font>
    <font>
      <b/>
      <sz val="10.0"/>
      <color rgb="FF1D2733"/>
      <name val="Arial"/>
    </font>
    <font>
      <b/>
      <sz val="10.0"/>
      <color rgb="FF00865A"/>
      <name val="Arial"/>
    </font>
    <font>
      <sz val="9.0"/>
      <color rgb="FF566273"/>
      <name val="Arial"/>
    </font>
    <font>
      <b/>
      <sz val="9.0"/>
      <color rgb="FF596575"/>
      <name val="Arial"/>
    </font>
    <font>
      <b/>
      <sz val="10.0"/>
      <color rgb="FF1F5AA6"/>
      <name val="Arial"/>
    </font>
    <font>
      <sz val="11.0"/>
      <color theme="1"/>
      <name val="Carlito"/>
    </font>
    <font>
      <b/>
      <sz val="9.0"/>
      <color rgb="FF566273"/>
      <name val="Arial"/>
    </font>
    <font>
      <b/>
      <sz val="18.0"/>
      <color rgb="FF1F4E78"/>
      <name val="Arial"/>
    </font>
    <font>
      <i/>
      <sz val="10.0"/>
      <color rgb="FF5B6573"/>
      <name val="Arial"/>
    </font>
    <font>
      <b/>
      <sz val="11.0"/>
      <color rgb="FF1F4E78"/>
      <name val="Aptos"/>
    </font>
    <font/>
    <font>
      <b/>
      <sz val="10.0"/>
      <color rgb="FFFFFFFF"/>
      <name val="Aptos"/>
    </font>
    <font>
      <sz val="10.0"/>
      <color rgb="FF1F2937"/>
      <name val="Arial"/>
    </font>
    <font>
      <sz val="10.0"/>
      <color rgb="FF008000"/>
      <name val="Arial"/>
    </font>
    <font>
      <sz val="10.0"/>
      <color rgb="FF0000FF"/>
      <name val="Arial"/>
    </font>
    <font>
      <b/>
      <sz val="10.0"/>
      <color rgb="FF1F2937"/>
      <name val="Arial"/>
    </font>
    <font>
      <b/>
      <sz val="10.0"/>
      <color rgb="FF008000"/>
      <name val="Arial"/>
    </font>
    <font>
      <b/>
      <sz val="15.0"/>
      <color rgb="FF1F4E78"/>
      <name val="Arial"/>
    </font>
    <font>
      <b/>
      <sz val="10.0"/>
      <color rgb="FF1F4E78"/>
      <name val="Arial"/>
    </font>
    <font>
      <b/>
      <sz val="10.0"/>
      <color rgb="FF006100"/>
      <name val="Aptos"/>
    </font>
    <font>
      <b/>
      <sz val="10.0"/>
      <color rgb="FF1F4E78"/>
      <name val="Aptos"/>
    </font>
    <font>
      <i/>
      <sz val="10.0"/>
      <color rgb="FF595959"/>
      <name val="Aptos"/>
    </font>
    <font>
      <u/>
      <sz val="12.0"/>
      <color theme="10"/>
      <name val="Calibri"/>
    </font>
    <font>
      <b/>
      <color theme="1"/>
      <name val="Calibri"/>
    </font>
    <font>
      <i/>
      <sz val="10.0"/>
      <color rgb="FF1F2937"/>
      <name val="Arial"/>
    </font>
    <font>
      <color theme="1"/>
      <name val="Calibri"/>
    </font>
    <font>
      <i/>
      <sz val="10.0"/>
      <color rgb="FF008000"/>
      <name val="Arial"/>
    </font>
    <font>
      <b/>
      <sz val="15.0"/>
      <color rgb="FFFFFFFF"/>
      <name val="Arial"/>
    </font>
    <font>
      <i/>
      <sz val="9.0"/>
      <color rgb="FF607081"/>
      <name val="Arial"/>
    </font>
    <font>
      <sz val="11.0"/>
      <color theme="1"/>
      <name val="Calibri"/>
    </font>
    <font>
      <u/>
      <sz val="12.0"/>
      <color rgb="FF800080"/>
      <name val="Calibri"/>
    </font>
    <font>
      <u/>
      <color rgb="FF0000FF"/>
    </font>
    <font>
      <b/>
      <sz val="13.0"/>
      <color rgb="FF000000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1.0"/>
      <color theme="1"/>
      <name val="Calibri"/>
    </font>
    <font>
      <color theme="1"/>
      <name val="Calibri"/>
      <scheme val="minor"/>
    </font>
    <font>
      <u/>
      <sz val="10.0"/>
      <color rgb="FF1D2733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0000"/>
      <name val="Arial"/>
    </font>
    <font>
      <b/>
      <sz val="13"/>
      <color rgb="FF000000"/>
      <name val="Arial"/>
    </font>
    <font>
      <b/>
      <sz val="11"/>
      <color rgb="FFFFFFFF"/>
      <name val="Arial"/>
    </font>
    <font>
      <i/>
      <sz val="9"/>
      <color rgb="FF595959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9F1F8"/>
        <bgColor rgb="FFE9F1F8"/>
      </patternFill>
    </fill>
    <fill>
      <patternFill patternType="solid">
        <fgColor rgb="FFFFF2CC"/>
        <bgColor rgb="FFFFF2CC"/>
      </patternFill>
    </fill>
    <fill>
      <patternFill patternType="solid">
        <fgColor rgb="FFE7F2E9"/>
        <bgColor rgb="FFE7F2E9"/>
      </patternFill>
    </fill>
    <fill>
      <patternFill patternType="solid">
        <fgColor rgb="FFF2F4F7"/>
        <bgColor rgb="FFF2F4F7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E2F0D9"/>
        <bgColor rgb="FFE2F0D9"/>
      </patternFill>
    </fill>
    <fill>
      <patternFill patternType="solid">
        <fgColor rgb="FFEAF3F8"/>
        <bgColor rgb="FFEAF3F8"/>
      </patternFill>
    </fill>
    <fill>
      <patternFill patternType="solid">
        <fgColor rgb="FFE7E6E6"/>
        <bgColor rgb="FFE7E6E6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24">
    <border/>
    <border>
      <left/>
      <right/>
      <top/>
      <bottom/>
    </border>
    <border>
      <left/>
      <right/>
      <top style="thin">
        <color rgb="FFB7C5D3"/>
      </top>
      <bottom/>
    </border>
    <border>
      <left style="thin">
        <color rgb="FFB4C6D7"/>
      </left>
      <top style="thin">
        <color rgb="FFB4C6D7"/>
      </top>
      <bottom style="thin">
        <color rgb="FFB4C6D7"/>
      </bottom>
    </border>
    <border>
      <top style="thin">
        <color rgb="FFB4C6D7"/>
      </top>
      <bottom style="thin">
        <color rgb="FFB4C6D7"/>
      </bottom>
    </border>
    <border>
      <left/>
      <right/>
      <top/>
      <bottom style="thin">
        <color rgb="FFD9E1F2"/>
      </bottom>
    </border>
    <border>
      <left/>
      <right/>
      <top/>
      <bottom style="thin">
        <color rgb="FFE5E7EB"/>
      </bottom>
    </border>
    <border>
      <bottom style="thin">
        <color rgb="FFE5E7EB"/>
      </bottom>
    </border>
    <border>
      <left/>
      <right/>
      <top style="thin">
        <color rgb="FFB4C6D7"/>
      </top>
      <bottom style="thin">
        <color rgb="FFB4C6D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4C6D7"/>
      </left>
      <right/>
      <top style="thin">
        <color rgb="FFB4C6D7"/>
      </top>
      <bottom style="thin">
        <color rgb="FFB4C6D7"/>
      </bottom>
    </border>
    <border>
      <left/>
      <right style="thin">
        <color rgb="FFB4C6D7"/>
      </right>
      <top style="thin">
        <color rgb="FFB4C6D7"/>
      </top>
      <bottom style="thin">
        <color rgb="FFB4C6D7"/>
      </bottom>
    </border>
    <border>
      <top style="thin">
        <color rgb="FFE5E7EB"/>
      </top>
      <bottom style="thin">
        <color rgb="FFE5E7EB"/>
      </bottom>
    </border>
    <border>
      <left/>
      <right/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B4C6D7"/>
      </bottom>
    </border>
    <border>
      <left/>
      <right/>
      <top style="thin">
        <color rgb="FFE5E7EB"/>
      </top>
      <bottom style="thin">
        <color rgb="FFB4C6D7"/>
      </bottom>
    </border>
    <border>
      <left style="thin">
        <color rgb="FFB4C6D7"/>
      </left>
      <right/>
      <top style="thin">
        <color rgb="FFB4C6D7"/>
      </top>
      <bottom/>
    </border>
    <border>
      <left/>
      <right/>
      <top style="thin">
        <color rgb="FFB4C6D7"/>
      </top>
      <bottom/>
    </border>
    <border>
      <left/>
      <right style="thin">
        <color rgb="FFB4C6D7"/>
      </right>
      <top style="thin">
        <color rgb="FFB4C6D7"/>
      </top>
      <bottom/>
    </border>
    <border>
      <left style="thin">
        <color rgb="FFB4C6D7"/>
      </left>
      <right/>
      <top/>
      <bottom/>
    </border>
    <border>
      <left/>
      <right style="thin">
        <color rgb="FFB4C6D7"/>
      </right>
      <top/>
      <bottom/>
    </border>
    <border>
      <left style="thin">
        <color rgb="FFB4C6D7"/>
      </left>
      <right/>
      <top/>
      <bottom style="thin">
        <color rgb="FFB4C6D7"/>
      </bottom>
    </border>
    <border>
      <left/>
      <right/>
      <top/>
      <bottom style="thin">
        <color rgb="FFB4C6D7"/>
      </bottom>
    </border>
    <border>
      <left/>
      <right style="thin">
        <color rgb="FFB4C6D7"/>
      </right>
      <top/>
      <bottom style="thin">
        <color rgb="FFB4C6D7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Border="1" applyFill="1" applyFont="1"/>
    <xf borderId="0" fillId="0" fontId="4" numFmtId="0" xfId="0" applyAlignment="1" applyFont="1">
      <alignment vertical="center"/>
    </xf>
    <xf borderId="1" fillId="2" fontId="5" numFmtId="0" xfId="0" applyBorder="1" applyFill="1" applyFont="1"/>
    <xf borderId="1" fillId="2" fontId="5" numFmtId="0" xfId="0" applyAlignment="1" applyBorder="1" applyFill="1" applyFont="1">
      <alignment vertical="center"/>
    </xf>
    <xf borderId="1" fillId="2" fontId="5" numFmtId="0" xfId="0" applyAlignment="1" applyBorder="1" applyFill="1" applyFont="1">
      <alignment horizontal="center" vertical="center"/>
    </xf>
    <xf borderId="1" fillId="3" fontId="6" numFmtId="0" xfId="0" applyBorder="1" applyFill="1" applyFont="1"/>
    <xf borderId="1" fillId="3" fontId="6" numFmtId="0" xfId="0" applyAlignment="1" applyBorder="1" applyFill="1" applyFont="1">
      <alignment vertical="center"/>
    </xf>
    <xf borderId="1" fillId="3" fontId="6" numFmtId="164" xfId="0" applyAlignment="1" applyBorder="1" applyFill="1" applyFont="1" applyNumberFormat="1">
      <alignment vertical="center"/>
    </xf>
    <xf borderId="0" fillId="0" fontId="7" numFmtId="164" xfId="0" applyAlignment="1" applyFont="1" applyNumberFormat="1">
      <alignment vertical="center"/>
    </xf>
    <xf borderId="1" fillId="4" fontId="1" numFmtId="165" xfId="0" applyBorder="1" applyFill="1" applyFont="1" applyNumberFormat="1"/>
    <xf borderId="0" fillId="0" fontId="1" numFmtId="166" xfId="0" applyFont="1" applyNumberFormat="1"/>
    <xf borderId="1" fillId="5" fontId="8" numFmtId="164" xfId="0" applyAlignment="1" applyBorder="1" applyFill="1" applyFont="1" applyNumberFormat="1">
      <alignment vertical="center"/>
    </xf>
    <xf borderId="0" fillId="0" fontId="9" numFmtId="0" xfId="0" applyAlignment="1" applyFont="1">
      <alignment vertical="center"/>
    </xf>
    <xf borderId="1" fillId="5" fontId="1" numFmtId="166" xfId="0" applyBorder="1" applyFill="1" applyFont="1" applyNumberFormat="1"/>
    <xf borderId="2" fillId="6" fontId="10" numFmtId="0" xfId="0" applyBorder="1" applyFill="1" applyFont="1"/>
    <xf borderId="2" fillId="6" fontId="10" numFmtId="166" xfId="0" applyBorder="1" applyFill="1" applyFont="1" applyNumberFormat="1"/>
    <xf borderId="0" fillId="0" fontId="7" numFmtId="2" xfId="0" applyAlignment="1" applyFont="1" applyNumberFormat="1">
      <alignment vertical="center"/>
    </xf>
    <xf borderId="1" fillId="5" fontId="11" numFmtId="166" xfId="0" applyBorder="1" applyFill="1" applyFont="1" applyNumberFormat="1"/>
    <xf borderId="1" fillId="3" fontId="1" numFmtId="2" xfId="0" applyAlignment="1" applyBorder="1" applyFill="1" applyFont="1" applyNumberFormat="1">
      <alignment vertical="center"/>
    </xf>
    <xf borderId="0" fillId="0" fontId="7" numFmtId="167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1" fillId="5" fontId="8" numFmtId="167" xfId="0" applyAlignment="1" applyBorder="1" applyFill="1" applyFont="1" applyNumberFormat="1">
      <alignment vertical="center"/>
    </xf>
    <xf borderId="0" fillId="0" fontId="12" numFmtId="0" xfId="0" applyAlignment="1" applyFont="1">
      <alignment shrinkToFit="0" vertical="center" wrapText="1"/>
    </xf>
    <xf borderId="1" fillId="4" fontId="1" numFmtId="3" xfId="0" applyBorder="1" applyFill="1" applyFont="1" applyNumberFormat="1"/>
    <xf borderId="1" fillId="3" fontId="13" numFmtId="0" xfId="0" applyAlignment="1" applyBorder="1" applyFill="1" applyFont="1">
      <alignment vertical="center"/>
    </xf>
    <xf borderId="0" fillId="0" fontId="1" numFmtId="168" xfId="0" applyAlignment="1" applyFont="1" applyNumberFormat="1">
      <alignment vertical="center"/>
    </xf>
    <xf borderId="1" fillId="4" fontId="1" numFmtId="168" xfId="0" applyAlignment="1" applyBorder="1" applyFill="1" applyFont="1" applyNumberFormat="1">
      <alignment vertical="center"/>
    </xf>
    <xf borderId="0" fillId="0" fontId="1" numFmtId="165" xfId="0" applyFont="1" applyNumberFormat="1"/>
    <xf borderId="1" fillId="5" fontId="1" numFmtId="165" xfId="0" applyBorder="1" applyFill="1" applyFont="1" applyNumberFormat="1"/>
    <xf borderId="0" fillId="0" fontId="12" numFmtId="0" xfId="0" applyAlignment="1" applyFont="1">
      <alignment vertical="center"/>
    </xf>
    <xf borderId="1" fillId="4" fontId="1" numFmtId="4" xfId="0" applyBorder="1" applyFill="1" applyFont="1" applyNumberFormat="1"/>
    <xf borderId="0" fillId="0" fontId="9" numFmtId="0" xfId="0" applyAlignment="1" applyFont="1">
      <alignment shrinkToFit="0" vertical="center" wrapText="1"/>
    </xf>
    <xf borderId="1" fillId="5" fontId="1" numFmtId="0" xfId="0" applyBorder="1" applyFill="1" applyFont="1"/>
    <xf borderId="1" fillId="5" fontId="6" numFmtId="0" xfId="0" applyBorder="1" applyFill="1" applyFont="1"/>
    <xf borderId="1" fillId="4" fontId="1" numFmtId="164" xfId="0" applyAlignment="1" applyBorder="1" applyFill="1" applyFont="1" applyNumberFormat="1">
      <alignment vertical="center"/>
    </xf>
    <xf borderId="2" fillId="6" fontId="10" numFmtId="0" xfId="0" applyAlignment="1" applyBorder="1" applyFill="1" applyFont="1">
      <alignment vertical="center"/>
    </xf>
    <xf borderId="2" fillId="6" fontId="10" numFmtId="164" xfId="0" applyAlignment="1" applyBorder="1" applyFill="1" applyFont="1" applyNumberFormat="1">
      <alignment vertical="center"/>
    </xf>
    <xf borderId="0" fillId="0" fontId="1" numFmtId="169" xfId="0" applyAlignment="1" applyFont="1" applyNumberFormat="1">
      <alignment vertical="center"/>
    </xf>
    <xf borderId="1" fillId="4" fontId="1" numFmtId="0" xfId="0" applyAlignment="1" applyBorder="1" applyFill="1" applyFont="1">
      <alignment horizontal="right" readingOrder="1" shrinkToFit="0" vertical="center" wrapText="1"/>
    </xf>
    <xf borderId="0" fillId="0" fontId="1" numFmtId="4" xfId="0" applyFont="1" applyNumberFormat="1"/>
    <xf borderId="1" fillId="4" fontId="9" numFmtId="0" xfId="0" applyAlignment="1" applyBorder="1" applyFill="1" applyFont="1">
      <alignment horizontal="left" readingOrder="1" shrinkToFit="0" vertical="center" wrapText="1"/>
    </xf>
    <xf borderId="1" fillId="5" fontId="11" numFmtId="4" xfId="0" applyBorder="1" applyFill="1" applyFont="1" applyNumberFormat="1"/>
    <xf borderId="2" fillId="6" fontId="10" numFmtId="2" xfId="0" applyBorder="1" applyFill="1" applyFont="1" applyNumberFormat="1"/>
    <xf borderId="0" fillId="0" fontId="1" numFmtId="2" xfId="0" applyFont="1" applyNumberFormat="1"/>
    <xf borderId="1" fillId="3" fontId="14" numFmtId="164" xfId="0" applyAlignment="1" applyBorder="1" applyFill="1" applyFont="1" applyNumberFormat="1">
      <alignment vertical="center"/>
    </xf>
    <xf borderId="0" fillId="0" fontId="1" numFmtId="169" xfId="0" applyAlignment="1" applyFont="1" applyNumberFormat="1">
      <alignment horizontal="right" readingOrder="1" shrinkToFit="0" vertical="center" wrapText="1"/>
    </xf>
    <xf borderId="0" fillId="0" fontId="15" numFmtId="0" xfId="0" applyAlignment="1" applyFont="1">
      <alignment horizontal="left" readingOrder="1" shrinkToFit="0" vertical="center" wrapText="1"/>
    </xf>
    <xf borderId="1" fillId="3" fontId="10" numFmtId="164" xfId="0" applyAlignment="1" applyBorder="1" applyFill="1" applyFont="1" applyNumberFormat="1">
      <alignment vertical="center"/>
    </xf>
    <xf borderId="1" fillId="3" fontId="16" numFmtId="0" xfId="0" applyAlignment="1" applyBorder="1" applyFill="1" applyFont="1">
      <alignment vertical="center"/>
    </xf>
    <xf borderId="1" fillId="5" fontId="11" numFmtId="2" xfId="0" applyBorder="1" applyFill="1" applyFont="1" applyNumberFormat="1"/>
    <xf borderId="0" fillId="0" fontId="1" numFmtId="2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shrinkToFit="0" vertical="center" wrapText="1"/>
    </xf>
    <xf borderId="3" fillId="7" fontId="19" numFmtId="0" xfId="0" applyAlignment="1" applyBorder="1" applyFill="1" applyFont="1">
      <alignment horizontal="left" vertical="center"/>
    </xf>
    <xf borderId="4" fillId="0" fontId="20" numFmtId="0" xfId="0" applyBorder="1" applyFont="1"/>
    <xf borderId="5" fillId="8" fontId="21" numFmtId="0" xfId="0" applyAlignment="1" applyBorder="1" applyFill="1" applyFont="1">
      <alignment horizontal="left" shrinkToFit="0" vertical="center" wrapText="1"/>
    </xf>
    <xf borderId="5" fillId="8" fontId="21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left" vertical="center"/>
    </xf>
    <xf borderId="0" fillId="0" fontId="23" numFmtId="170" xfId="0" applyAlignment="1" applyFont="1" applyNumberFormat="1">
      <alignment horizontal="right" vertical="center"/>
    </xf>
    <xf borderId="6" fillId="4" fontId="24" numFmtId="171" xfId="0" applyAlignment="1" applyBorder="1" applyFill="1" applyFont="1" applyNumberFormat="1">
      <alignment vertical="center"/>
    </xf>
    <xf borderId="7" fillId="0" fontId="22" numFmtId="0" xfId="0" applyAlignment="1" applyBorder="1" applyFont="1">
      <alignment shrinkToFit="0" vertical="top" wrapText="1"/>
    </xf>
    <xf borderId="1" fillId="9" fontId="25" numFmtId="0" xfId="0" applyAlignment="1" applyBorder="1" applyFill="1" applyFont="1">
      <alignment horizontal="left" vertical="center"/>
    </xf>
    <xf borderId="1" fillId="9" fontId="26" numFmtId="170" xfId="0" applyAlignment="1" applyBorder="1" applyFill="1" applyFont="1" applyNumberFormat="1">
      <alignment horizontal="right" vertical="center"/>
    </xf>
    <xf borderId="8" fillId="9" fontId="26" numFmtId="171" xfId="0" applyAlignment="1" applyBorder="1" applyFill="1" applyFont="1" applyNumberFormat="1">
      <alignment vertical="center"/>
    </xf>
    <xf borderId="0" fillId="0" fontId="22" numFmtId="0" xfId="0" applyAlignment="1" applyFont="1">
      <alignment vertical="center"/>
    </xf>
    <xf borderId="6" fillId="9" fontId="25" numFmtId="0" xfId="0" applyAlignment="1" applyBorder="1" applyFill="1" applyFont="1">
      <alignment shrinkToFit="0" vertical="top" wrapText="1"/>
    </xf>
    <xf borderId="0" fillId="0" fontId="27" numFmtId="0" xfId="0" applyAlignment="1" applyFont="1">
      <alignment vertical="center"/>
    </xf>
    <xf borderId="0" fillId="0" fontId="18" numFmtId="0" xfId="0" applyAlignment="1" applyFont="1">
      <alignment vertical="center"/>
    </xf>
    <xf borderId="9" fillId="8" fontId="5" numFmtId="0" xfId="0" applyAlignment="1" applyBorder="1" applyFill="1" applyFont="1">
      <alignment horizontal="left" shrinkToFit="0" vertical="center" wrapText="1"/>
    </xf>
    <xf borderId="9" fillId="8" fontId="5" numFmtId="0" xfId="0" applyAlignment="1" applyBorder="1" applyFill="1" applyFont="1">
      <alignment horizontal="center" shrinkToFit="0" vertical="center" wrapText="1"/>
    </xf>
    <xf borderId="2" fillId="6" fontId="10" numFmtId="172" xfId="0" applyAlignment="1" applyBorder="1" applyFill="1" applyFont="1" applyNumberFormat="1">
      <alignment vertical="center"/>
    </xf>
    <xf borderId="0" fillId="0" fontId="25" numFmtId="0" xfId="0" applyAlignment="1" applyFont="1">
      <alignment vertical="center"/>
    </xf>
    <xf borderId="10" fillId="7" fontId="28" numFmtId="0" xfId="0" applyAlignment="1" applyBorder="1" applyFill="1" applyFont="1">
      <alignment horizontal="left" vertical="center"/>
    </xf>
    <xf borderId="0" fillId="0" fontId="22" numFmtId="173" xfId="0" applyAlignment="1" applyFont="1" applyNumberFormat="1">
      <alignment vertical="center"/>
    </xf>
    <xf borderId="8" fillId="7" fontId="28" numFmtId="0" xfId="0" applyAlignment="1" applyBorder="1" applyFill="1" applyFont="1">
      <alignment horizontal="right" vertical="center"/>
    </xf>
    <xf borderId="11" fillId="7" fontId="28" numFmtId="0" xfId="0" applyAlignment="1" applyBorder="1" applyFill="1" applyFont="1">
      <alignment horizontal="right" vertical="center"/>
    </xf>
    <xf borderId="0" fillId="0" fontId="22" numFmtId="0" xfId="0" applyAlignment="1" applyFont="1">
      <alignment shrinkToFit="0" vertical="center" wrapText="1"/>
    </xf>
    <xf borderId="0" fillId="0" fontId="22" numFmtId="174" xfId="0" applyAlignment="1" applyFont="1" applyNumberFormat="1">
      <alignment horizontal="right" vertical="center"/>
    </xf>
    <xf borderId="0" fillId="0" fontId="23" numFmtId="49" xfId="0" applyAlignment="1" applyFont="1" applyNumberFormat="1">
      <alignment horizontal="right" vertical="center"/>
    </xf>
    <xf borderId="8" fillId="10" fontId="23" numFmtId="171" xfId="0" applyAlignment="1" applyBorder="1" applyFill="1" applyFont="1" applyNumberFormat="1">
      <alignment vertical="center"/>
    </xf>
    <xf borderId="1" fillId="10" fontId="29" numFmtId="170" xfId="0" applyAlignment="1" applyBorder="1" applyFill="1" applyFont="1" applyNumberFormat="1">
      <alignment horizontal="right" vertical="center"/>
    </xf>
    <xf borderId="10" fillId="10" fontId="25" numFmtId="0" xfId="0" applyAlignment="1" applyBorder="1" applyFill="1" applyFont="1">
      <alignment vertical="center"/>
    </xf>
    <xf borderId="8" fillId="10" fontId="23" numFmtId="173" xfId="0" applyAlignment="1" applyBorder="1" applyFill="1" applyFont="1" applyNumberFormat="1">
      <alignment vertical="center"/>
    </xf>
    <xf borderId="0" fillId="0" fontId="23" numFmtId="174" xfId="0" applyAlignment="1" applyFont="1" applyNumberFormat="1">
      <alignment horizontal="right" vertical="center"/>
    </xf>
    <xf borderId="8" fillId="10" fontId="22" numFmtId="0" xfId="0" applyAlignment="1" applyBorder="1" applyFill="1" applyFont="1">
      <alignment shrinkToFit="0" vertical="center" wrapText="1"/>
    </xf>
    <xf borderId="11" fillId="10" fontId="22" numFmtId="0" xfId="0" applyAlignment="1" applyBorder="1" applyFill="1" applyFont="1">
      <alignment shrinkToFit="0" vertical="center" wrapText="1"/>
    </xf>
    <xf borderId="7" fillId="0" fontId="25" numFmtId="0" xfId="0" applyAlignment="1" applyBorder="1" applyFont="1">
      <alignment vertical="center"/>
    </xf>
    <xf borderId="6" fillId="4" fontId="24" numFmtId="173" xfId="0" applyAlignment="1" applyBorder="1" applyFill="1" applyFont="1" applyNumberFormat="1">
      <alignment vertical="center"/>
    </xf>
    <xf borderId="7" fillId="0" fontId="22" numFmtId="0" xfId="0" applyAlignment="1" applyBorder="1" applyFont="1">
      <alignment vertical="center"/>
    </xf>
    <xf borderId="7" fillId="0" fontId="22" numFmtId="0" xfId="0" applyAlignment="1" applyBorder="1" applyFont="1">
      <alignment shrinkToFit="0" vertical="center" wrapText="1"/>
    </xf>
    <xf borderId="12" fillId="0" fontId="25" numFmtId="0" xfId="0" applyAlignment="1" applyBorder="1" applyFont="1">
      <alignment vertical="center"/>
    </xf>
    <xf borderId="13" fillId="4" fontId="24" numFmtId="173" xfId="0" applyAlignment="1" applyBorder="1" applyFill="1" applyFont="1" applyNumberFormat="1">
      <alignment vertical="center"/>
    </xf>
    <xf borderId="12" fillId="0" fontId="22" numFmtId="0" xfId="0" applyAlignment="1" applyBorder="1" applyFont="1">
      <alignment vertical="center"/>
    </xf>
    <xf borderId="12" fillId="0" fontId="22" numFmtId="0" xfId="0" applyAlignment="1" applyBorder="1" applyFont="1">
      <alignment shrinkToFit="0" vertical="center" wrapText="1"/>
    </xf>
    <xf borderId="8" fillId="11" fontId="25" numFmtId="0" xfId="0" applyAlignment="1" applyBorder="1" applyFill="1" applyFont="1">
      <alignment horizontal="left" vertical="center"/>
    </xf>
    <xf borderId="8" fillId="11" fontId="25" numFmtId="174" xfId="0" applyAlignment="1" applyBorder="1" applyFill="1" applyFont="1" applyNumberFormat="1">
      <alignment horizontal="right" vertical="center"/>
    </xf>
    <xf borderId="8" fillId="11" fontId="26" numFmtId="174" xfId="0" applyAlignment="1" applyBorder="1" applyFill="1" applyFont="1" applyNumberFormat="1">
      <alignment horizontal="right" vertical="center"/>
    </xf>
    <xf borderId="14" fillId="0" fontId="25" numFmtId="0" xfId="0" applyAlignment="1" applyBorder="1" applyFont="1">
      <alignment vertical="center"/>
    </xf>
    <xf borderId="15" fillId="4" fontId="24" numFmtId="173" xfId="0" applyAlignment="1" applyBorder="1" applyFill="1" applyFont="1" applyNumberFormat="1">
      <alignment vertical="center"/>
    </xf>
    <xf borderId="14" fillId="0" fontId="22" numFmtId="0" xfId="0" applyAlignment="1" applyBorder="1" applyFont="1">
      <alignment vertical="center"/>
    </xf>
    <xf borderId="1" fillId="9" fontId="30" numFmtId="0" xfId="0" applyAlignment="1" applyBorder="1" applyFill="1" applyFont="1">
      <alignment horizontal="left" vertical="center"/>
    </xf>
    <xf borderId="14" fillId="0" fontId="22" numFmtId="0" xfId="0" applyAlignment="1" applyBorder="1" applyFont="1">
      <alignment shrinkToFit="0" vertical="center" wrapText="1"/>
    </xf>
    <xf borderId="10" fillId="7" fontId="28" numFmtId="0" xfId="0" applyAlignment="1" applyBorder="1" applyFill="1" applyFont="1">
      <alignment vertical="center"/>
    </xf>
    <xf borderId="8" fillId="7" fontId="28" numFmtId="0" xfId="0" applyAlignment="1" applyBorder="1" applyFill="1" applyFont="1">
      <alignment vertical="center"/>
    </xf>
    <xf borderId="1" fillId="9" fontId="30" numFmtId="170" xfId="0" applyAlignment="1" applyBorder="1" applyFill="1" applyFont="1" applyNumberFormat="1">
      <alignment horizontal="right" vertical="center"/>
    </xf>
    <xf borderId="8" fillId="11" fontId="25" numFmtId="0" xfId="0" applyAlignment="1" applyBorder="1" applyFill="1" applyFont="1">
      <alignment vertical="center"/>
    </xf>
    <xf borderId="11" fillId="7" fontId="28" numFmtId="0" xfId="0" applyAlignment="1" applyBorder="1" applyFill="1" applyFont="1">
      <alignment vertical="center"/>
    </xf>
    <xf borderId="8" fillId="11" fontId="25" numFmtId="174" xfId="0" applyAlignment="1" applyBorder="1" applyFill="1" applyFont="1" applyNumberFormat="1">
      <alignment vertical="center"/>
    </xf>
    <xf borderId="0" fillId="0" fontId="31" numFmtId="0" xfId="0" applyAlignment="1" applyFont="1">
      <alignment horizontal="left" vertical="center"/>
    </xf>
    <xf borderId="0" fillId="0" fontId="31" numFmtId="171" xfId="0" applyAlignment="1" applyFont="1" applyNumberFormat="1">
      <alignment horizontal="right" vertical="center"/>
    </xf>
    <xf borderId="12" fillId="0" fontId="22" numFmtId="174" xfId="0" applyAlignment="1" applyBorder="1" applyFont="1" applyNumberFormat="1">
      <alignment vertical="center"/>
    </xf>
    <xf borderId="0" fillId="0" fontId="32" numFmtId="0" xfId="0" applyFont="1"/>
    <xf borderId="12" fillId="0" fontId="22" numFmtId="175" xfId="0" applyAlignment="1" applyBorder="1" applyFont="1" applyNumberFormat="1">
      <alignment vertical="center"/>
    </xf>
    <xf borderId="8" fillId="10" fontId="23" numFmtId="170" xfId="0" applyAlignment="1" applyBorder="1" applyFill="1" applyFont="1" applyNumberFormat="1">
      <alignment vertical="center"/>
    </xf>
    <xf borderId="0" fillId="0" fontId="33" numFmtId="0" xfId="0" applyFont="1"/>
    <xf borderId="0" fillId="0" fontId="33" numFmtId="0" xfId="0" applyAlignment="1" applyFont="1">
      <alignment horizontal="center"/>
    </xf>
    <xf borderId="0" fillId="0" fontId="35" numFmtId="0" xfId="0" applyFont="1"/>
    <xf borderId="0" fillId="0" fontId="34" numFmtId="173" xfId="0" applyAlignment="1" applyFont="1" applyNumberFormat="1">
      <alignment horizontal="right" vertical="center"/>
    </xf>
    <xf borderId="8" fillId="11" fontId="25" numFmtId="176" xfId="0" applyAlignment="1" applyBorder="1" applyFill="1" applyFont="1" applyNumberFormat="1">
      <alignment vertical="center"/>
    </xf>
    <xf borderId="0" fillId="0" fontId="35" numFmtId="2" xfId="0" applyAlignment="1" applyFont="1" applyNumberFormat="1">
      <alignment horizontal="center"/>
    </xf>
    <xf borderId="0" fillId="0" fontId="36" numFmtId="173" xfId="0" applyAlignment="1" applyFont="1" applyNumberFormat="1">
      <alignment horizontal="right" vertical="center"/>
    </xf>
    <xf borderId="0" fillId="0" fontId="35" numFmtId="165" xfId="0" applyAlignment="1" applyFont="1" applyNumberFormat="1">
      <alignment horizontal="center"/>
    </xf>
    <xf borderId="12" fillId="0" fontId="22" numFmtId="173" xfId="0" applyAlignment="1" applyBorder="1" applyFont="1" applyNumberFormat="1">
      <alignment vertical="center"/>
    </xf>
    <xf borderId="0" fillId="0" fontId="33" numFmtId="2" xfId="0" applyAlignment="1" applyFont="1" applyNumberFormat="1">
      <alignment horizontal="center"/>
    </xf>
    <xf borderId="0" fillId="0" fontId="33" numFmtId="165" xfId="0" applyAlignment="1" applyFont="1" applyNumberFormat="1">
      <alignment horizontal="center"/>
    </xf>
    <xf borderId="0" fillId="0" fontId="35" numFmtId="0" xfId="0" applyAlignment="1" applyFont="1">
      <alignment horizontal="center"/>
    </xf>
    <xf borderId="0" fillId="0" fontId="35" numFmtId="10" xfId="0" applyAlignment="1" applyFont="1" applyNumberFormat="1">
      <alignment horizontal="center"/>
    </xf>
    <xf borderId="14" fillId="0" fontId="22" numFmtId="173" xfId="0" applyAlignment="1" applyBorder="1" applyFont="1" applyNumberFormat="1">
      <alignment vertical="center"/>
    </xf>
    <xf borderId="1" fillId="2" fontId="37" numFmtId="0" xfId="0" applyBorder="1" applyFill="1" applyFont="1"/>
    <xf borderId="11" fillId="7" fontId="28" numFmtId="0" xfId="0" applyAlignment="1" applyBorder="1" applyFill="1" applyFont="1">
      <alignment shrinkToFit="0" vertical="center" wrapText="1"/>
    </xf>
    <xf borderId="0" fillId="0" fontId="38" numFmtId="0" xfId="0" applyFont="1"/>
    <xf borderId="0" fillId="0" fontId="22" numFmtId="0" xfId="0" applyAlignment="1" applyFont="1">
      <alignment horizontal="right" vertical="center"/>
    </xf>
    <xf borderId="0" fillId="0" fontId="23" numFmtId="0" xfId="0" applyAlignment="1" applyFont="1">
      <alignment horizontal="right" vertical="center"/>
    </xf>
    <xf borderId="0" fillId="0" fontId="7" numFmtId="164" xfId="0" applyFont="1" applyNumberFormat="1"/>
    <xf borderId="8" fillId="7" fontId="26" numFmtId="0" xfId="0" applyAlignment="1" applyBorder="1" applyFill="1" applyFont="1">
      <alignment horizontal="right" vertical="center"/>
    </xf>
    <xf borderId="11" fillId="7" fontId="26" numFmtId="0" xfId="0" applyAlignment="1" applyBorder="1" applyFill="1" applyFont="1">
      <alignment horizontal="right" vertical="center"/>
    </xf>
    <xf borderId="0" fillId="0" fontId="7" numFmtId="0" xfId="0" applyFont="1"/>
    <xf borderId="1" fillId="3" fontId="14" numFmtId="0" xfId="0" applyBorder="1" applyFill="1" applyFont="1"/>
    <xf borderId="0" fillId="0" fontId="7" numFmtId="177" xfId="0" applyFont="1" applyNumberFormat="1"/>
    <xf borderId="1" fillId="4" fontId="1" numFmtId="177" xfId="0" applyBorder="1" applyFill="1" applyFont="1" applyNumberFormat="1"/>
    <xf borderId="0" fillId="0" fontId="8" numFmtId="164" xfId="0" applyFont="1" applyNumberFormat="1"/>
    <xf borderId="0" fillId="0" fontId="1" numFmtId="164" xfId="0" applyFont="1" applyNumberFormat="1"/>
    <xf borderId="0" fillId="0" fontId="7" numFmtId="168" xfId="0" applyFont="1" applyNumberFormat="1"/>
    <xf borderId="1" fillId="4" fontId="1" numFmtId="168" xfId="0" applyBorder="1" applyFill="1" applyFont="1" applyNumberFormat="1"/>
    <xf borderId="0" fillId="0" fontId="39" numFmtId="177" xfId="0" applyFont="1" applyNumberFormat="1"/>
    <xf borderId="0" fillId="0" fontId="39" numFmtId="4" xfId="0" applyFont="1" applyNumberFormat="1"/>
    <xf borderId="0" fillId="0" fontId="39" numFmtId="178" xfId="0" applyFont="1" applyNumberFormat="1"/>
    <xf borderId="2" fillId="6" fontId="10" numFmtId="164" xfId="0" applyBorder="1" applyFill="1" applyFont="1" applyNumberFormat="1"/>
    <xf borderId="2" fillId="6" fontId="11" numFmtId="164" xfId="0" applyBorder="1" applyFill="1" applyFont="1" applyNumberFormat="1"/>
    <xf borderId="1" fillId="3" fontId="11" numFmtId="164" xfId="0" applyBorder="1" applyFill="1" applyFont="1" applyNumberFormat="1"/>
    <xf borderId="1" fillId="3" fontId="10" numFmtId="164" xfId="0" applyBorder="1" applyFill="1" applyFont="1" applyNumberFormat="1"/>
    <xf borderId="0" fillId="0" fontId="1" numFmtId="168" xfId="0" applyFont="1" applyNumberFormat="1"/>
    <xf borderId="0" fillId="0" fontId="39" numFmtId="164" xfId="0" applyFont="1" applyNumberFormat="1"/>
    <xf borderId="1" fillId="4" fontId="7" numFmtId="177" xfId="0" applyBorder="1" applyFill="1" applyFont="1" applyNumberFormat="1"/>
    <xf borderId="1" fillId="3" fontId="39" numFmtId="0" xfId="0" applyBorder="1" applyFill="1" applyFont="1"/>
    <xf borderId="1" fillId="3" fontId="39" numFmtId="164" xfId="0" applyBorder="1" applyFill="1" applyFont="1" applyNumberFormat="1"/>
    <xf borderId="0" fillId="0" fontId="7" numFmtId="4" xfId="0" applyFont="1" applyNumberFormat="1"/>
    <xf borderId="1" fillId="3" fontId="39" numFmtId="178" xfId="0" applyBorder="1" applyFill="1" applyFont="1" applyNumberFormat="1"/>
    <xf borderId="0" fillId="0" fontId="39" numFmtId="0" xfId="0" applyAlignment="1" applyFont="1">
      <alignment shrinkToFit="0" wrapText="1"/>
    </xf>
    <xf borderId="0" fillId="0" fontId="22" numFmtId="175" xfId="0" applyAlignment="1" applyFont="1" applyNumberFormat="1">
      <alignment horizontal="right" vertical="center"/>
    </xf>
    <xf borderId="0" fillId="0" fontId="23" numFmtId="175" xfId="0" applyAlignment="1" applyFont="1" applyNumberFormat="1">
      <alignment horizontal="right" vertical="center"/>
    </xf>
    <xf borderId="8" fillId="11" fontId="25" numFmtId="176" xfId="0" applyAlignment="1" applyBorder="1" applyFill="1" applyFont="1" applyNumberFormat="1">
      <alignment horizontal="right" vertical="center"/>
    </xf>
    <xf borderId="8" fillId="11" fontId="26" numFmtId="176" xfId="0" applyAlignment="1" applyBorder="1" applyFill="1" applyFont="1" applyNumberFormat="1">
      <alignment horizontal="right" vertical="center"/>
    </xf>
    <xf borderId="16" fillId="12" fontId="25" numFmtId="0" xfId="0" applyAlignment="1" applyBorder="1" applyFill="1" applyFont="1">
      <alignment horizontal="left" vertical="center"/>
    </xf>
    <xf borderId="17" fillId="12" fontId="25" numFmtId="176" xfId="0" applyAlignment="1" applyBorder="1" applyFill="1" applyFont="1" applyNumberFormat="1">
      <alignment horizontal="right" vertical="center"/>
    </xf>
    <xf borderId="18" fillId="12" fontId="25" numFmtId="176" xfId="0" applyAlignment="1" applyBorder="1" applyFill="1" applyFont="1" applyNumberFormat="1">
      <alignment horizontal="right" vertical="center"/>
    </xf>
    <xf borderId="19" fillId="12" fontId="25" numFmtId="0" xfId="0" applyAlignment="1" applyBorder="1" applyFill="1" applyFont="1">
      <alignment horizontal="left" vertical="center"/>
    </xf>
    <xf borderId="1" fillId="12" fontId="25" numFmtId="176" xfId="0" applyAlignment="1" applyBorder="1" applyFill="1" applyFont="1" applyNumberFormat="1">
      <alignment horizontal="right" vertical="center"/>
    </xf>
    <xf borderId="20" fillId="12" fontId="25" numFmtId="176" xfId="0" applyAlignment="1" applyBorder="1" applyFill="1" applyFont="1" applyNumberFormat="1">
      <alignment horizontal="right" vertical="center"/>
    </xf>
    <xf borderId="21" fillId="12" fontId="25" numFmtId="0" xfId="0" applyAlignment="1" applyBorder="1" applyFill="1" applyFont="1">
      <alignment horizontal="left" vertical="center"/>
    </xf>
    <xf borderId="22" fillId="12" fontId="25" numFmtId="176" xfId="0" applyAlignment="1" applyBorder="1" applyFill="1" applyFont="1" applyNumberFormat="1">
      <alignment horizontal="right" vertical="center"/>
    </xf>
    <xf borderId="23" fillId="12" fontId="25" numFmtId="176" xfId="0" applyAlignment="1" applyBorder="1" applyFill="1" applyFont="1" applyNumberFormat="1">
      <alignment horizontal="right" vertical="center"/>
    </xf>
    <xf borderId="0" fillId="0" fontId="35" numFmtId="164" xfId="0" applyFont="1" applyNumberFormat="1"/>
    <xf borderId="0" fillId="0" fontId="35" numFmtId="3" xfId="0" applyFont="1" applyNumberFormat="1"/>
    <xf borderId="0" fillId="0" fontId="8" numFmtId="179" xfId="0" applyFont="1" applyNumberFormat="1"/>
    <xf borderId="0" fillId="0" fontId="1" numFmtId="179" xfId="0" applyFont="1" applyNumberFormat="1"/>
    <xf borderId="0" fillId="0" fontId="35" numFmtId="0" xfId="0" applyAlignment="1" applyFont="1">
      <alignment readingOrder="0"/>
    </xf>
    <xf borderId="0" fillId="0" fontId="10" numFmtId="0" xfId="0" applyFont="1"/>
    <xf borderId="0" fillId="0" fontId="8" numFmtId="0" xfId="0" applyFont="1"/>
    <xf borderId="0" fillId="0" fontId="1" numFmtId="180" xfId="0" applyFont="1" applyNumberFormat="1"/>
    <xf borderId="0" fillId="0" fontId="39" numFmtId="179" xfId="0" applyFont="1" applyNumberFormat="1"/>
    <xf borderId="0" fillId="0" fontId="8" numFmtId="2" xfId="0" applyFont="1" applyNumberFormat="1"/>
    <xf borderId="0" fillId="0" fontId="40" numFmtId="0" xfId="0" applyFont="1"/>
    <xf borderId="0" fillId="0" fontId="1" numFmtId="180" xfId="0" applyAlignment="1" applyFont="1" applyNumberFormat="1">
      <alignment horizontal="right"/>
    </xf>
    <xf borderId="0" fillId="0" fontId="41" numFmtId="0" xfId="0" applyFont="1"/>
    <xf borderId="2" fillId="6" fontId="10" numFmtId="180" xfId="0" applyBorder="1" applyFill="1" applyFont="1" applyNumberFormat="1"/>
    <xf borderId="0" fillId="0" fontId="39" numFmtId="0" xfId="0" applyAlignment="1" applyFont="1">
      <alignment horizontal="left" shrinkToFit="0" wrapText="1"/>
    </xf>
    <xf borderId="0" fillId="0" fontId="1" numFmtId="178" xfId="0" applyFont="1" applyNumberFormat="1"/>
    <xf borderId="0" fillId="0" fontId="39" numFmtId="10" xfId="0" applyAlignment="1" applyFont="1" applyNumberFormat="1">
      <alignment shrinkToFit="0" wrapText="1"/>
    </xf>
    <xf borderId="0" fillId="0" fontId="42" numFmtId="0" xfId="0" applyFont="1"/>
    <xf borderId="0" fillId="0" fontId="43" numFmtId="0" xfId="0" applyFont="1"/>
    <xf borderId="0" fillId="0" fontId="1" numFmtId="177" xfId="0" applyFont="1" applyNumberFormat="1"/>
    <xf borderId="0" fillId="13" fontId="44" numFmtId="0" xfId="0" applyFill="1" applyFont="1"/>
    <xf borderId="0" fillId="0" fontId="45" numFmtId="10" xfId="0" applyFont="1" applyNumberFormat="1"/>
    <xf borderId="0" fillId="14" fontId="46" numFmtId="0" xfId="0" applyFill="1" applyFont="1"/>
    <xf borderId="0" fillId="0" fontId="47" numFmtId="0" xfId="0" applyFont="1"/>
    <xf borderId="0" fillId="0" fontId="24" numFmtId="3" xfId="0" applyFont="1" applyNumberFormat="1"/>
    <xf borderId="0" fillId="0" fontId="23" numFmtId="181" xfId="0" applyFont="1" applyNumberFormat="1"/>
    <xf borderId="2" fillId="15" fontId="48" numFmtId="10" xfId="0" applyBorder="1" applyFill="1" applyFont="1" applyNumberFormat="1"/>
    <xf borderId="1" fillId="15" fontId="49" numFmtId="10" xfId="0" applyBorder="1" applyFill="1" applyFont="1" applyNumberFormat="1"/>
    <xf borderId="0" fillId="0" fontId="23" numFmtId="3" xfId="0" applyFont="1" applyNumberFormat="1"/>
    <xf borderId="0" fillId="0" fontId="23" numFmtId="182" xfId="0" applyFont="1" applyNumberFormat="1"/>
    <xf borderId="0" fillId="0" fontId="23" numFmtId="183" xfId="0" applyFont="1" applyNumberFormat="1"/>
    <xf borderId="0" fillId="0" fontId="46" numFmtId="182" xfId="0" applyFont="1" applyNumberFormat="1"/>
    <xf borderId="2" fillId="6" fontId="10" numFmtId="178" xfId="0" applyBorder="1" applyFill="1" applyFont="1" applyNumberFormat="1"/>
    <xf borderId="0" fillId="0" fontId="47" numFmtId="183" xfId="0" applyFont="1" applyNumberFormat="1"/>
    <xf borderId="0" fillId="0" fontId="46" numFmtId="0" xfId="0" applyFont="1"/>
    <xf borderId="0" fillId="14" fontId="24" numFmtId="183" xfId="0" applyFill="1" applyFont="1" applyNumberFormat="1"/>
    <xf borderId="0" fillId="0" fontId="47" numFmtId="182" xfId="0" applyFont="1" applyNumberFormat="1"/>
    <xf borderId="0" fillId="0" fontId="1" numFmtId="0" xfId="0" applyAlignment="1" applyFont="1">
      <alignment shrinkToFit="0" wrapText="1"/>
    </xf>
    <xf borderId="0" fillId="16" fontId="24" numFmtId="183" xfId="0" applyFill="1" applyFont="1" applyNumberFormat="1"/>
    <xf borderId="0" fillId="0" fontId="1" numFmtId="10" xfId="0" applyFont="1" applyNumberFormat="1"/>
    <xf borderId="0" fillId="0" fontId="39" numFmtId="0" xfId="0" applyFont="1"/>
    <xf borderId="0" fillId="0" fontId="47" numFmtId="2" xfId="0" applyFont="1" applyNumberFormat="1"/>
    <xf borderId="0" fillId="0" fontId="24" numFmtId="183" xfId="0" applyFont="1" applyNumberFormat="1"/>
    <xf borderId="0" fillId="0" fontId="24" numFmtId="2" xfId="0" applyFont="1" applyNumberFormat="1"/>
    <xf borderId="0" fillId="0" fontId="46" numFmtId="183" xfId="0" applyFont="1" applyNumberFormat="1"/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50" numFmtId="2" xfId="0" applyFont="1" applyNumberFormat="1"/>
    <xf borderId="0" fillId="0" fontId="51" numFmtId="0" xfId="0" applyAlignment="1" applyFont="1">
      <alignment readingOrder="0"/>
    </xf>
    <xf borderId="0" fillId="0" fontId="23" numFmtId="184" xfId="0" applyFont="1" applyNumberFormat="1"/>
    <xf borderId="0" fillId="0" fontId="24" numFmtId="181" xfId="0" applyFont="1" applyNumberFormat="1"/>
    <xf borderId="0" fillId="0" fontId="24" numFmtId="182" xfId="0" applyFont="1" applyNumberFormat="1"/>
    <xf numFmtId="0" fontId="52" fillId="0" borderId="0" xfId="0" applyFont="1"/>
    <xf numFmtId="0" fontId="55" fillId="0" borderId="0" xfId="0" applyFont="1"/>
    <xf numFmtId="0" fontId="56" fillId="0" borderId="0" xfId="0" applyFont="1"/>
    <xf numFmtId="0" fontId="58" fillId="0" borderId="0" xfId="0" applyFont="1"/>
    <xf numFmtId="0" fontId="58" fillId="0" borderId="0" xfId="0" applyFont="1"/>
    <xf numFmtId="0" fontId="57" fillId="17" borderId="0" xfId="0" applyFont="1" applyFill="1"/>
    <xf numFmtId="0" fontId="55" fillId="19" borderId="0" xfId="0" applyFont="1" applyFill="1"/>
    <xf numFmtId="187" fontId="53" fillId="0" borderId="0" xfId="0" applyFont="1" applyNumberFormat="1"/>
    <xf numFmtId="187" fontId="53" fillId="19" borderId="0" xfId="0" applyFont="1" applyFill="1" applyNumberFormat="1"/>
    <xf numFmtId="187" fontId="53" fillId="18" borderId="0" xfId="0" applyFont="1" applyFill="1" applyNumberFormat="1"/>
    <xf numFmtId="185" fontId="53" fillId="0" borderId="0" xfId="0" applyFont="1" applyNumberFormat="1"/>
    <xf numFmtId="186" fontId="53" fillId="0" borderId="0" xfId="0" applyFont="1" applyNumberFormat="1"/>
    <xf numFmtId="189" fontId="53" fillId="0" borderId="0" xfId="0" applyFont="1" applyNumberFormat="1"/>
    <xf numFmtId="190" fontId="53" fillId="0" borderId="0" xfId="0" applyFont="1" applyNumberFormat="1"/>
    <xf numFmtId="187" fontId="52" fillId="0" borderId="0" xfId="0" applyFont="1" applyNumberFormat="1"/>
    <xf numFmtId="187" fontId="55" fillId="0" borderId="0" xfId="0" applyFont="1" applyNumberFormat="1"/>
    <xf numFmtId="185" fontId="52" fillId="0" borderId="0" xfId="0" applyFont="1" applyNumberFormat="1"/>
    <xf numFmtId="185" fontId="55" fillId="0" borderId="0" xfId="0" applyFont="1" applyNumberFormat="1"/>
    <xf numFmtId="189" fontId="52" fillId="0" borderId="0" xfId="0" applyFont="1" applyNumberFormat="1"/>
    <xf numFmtId="187" fontId="54" fillId="0" borderId="0" xfId="0" applyFont="1" applyNumberFormat="1"/>
    <xf numFmtId="185" fontId="54" fillId="0" borderId="0" xfId="0" applyFont="1" applyNumberFormat="1"/>
    <xf numFmtId="186" fontId="54" fillId="0" borderId="0" xfId="0" applyFont="1" applyNumberFormat="1"/>
    <xf numFmtId="188" fontId="54" fillId="0" borderId="0" xfId="0" applyFont="1" applyNumberFormat="1"/>
    <xf numFmtId="190" fontId="54" fillId="0" borderId="0" xfId="0" applyFont="1" applyNumberFormat="1"/>
    <xf numFmtId="188" fontId="52" fillId="0" borderId="0" xfId="0" applyFont="1" applyNumberFormat="1"/>
    <xf numFmtId="188" fontId="55" fillId="0" borderId="0" xfId="0" applyFont="1" applyNumberFormat="1"/>
    <xf numFmtId="186" fontId="52" fillId="0" borderId="0" xfId="0" applyFont="1" applyNumberFormat="1"/>
    <xf numFmtId="187" fontId="52" fillId="0" borderId="0" xfId="0" applyFont="1" applyNumberFormat="1"/>
  </cellXfs>
  <cellStyles count="1">
    <cellStyle xfId="0" name="Normal" builtinId="0"/>
  </cellStyles>
  <dxfs count="2">
    <dxf>
      <font>
        <b/>
        <color rgb="FFB42318"/>
      </font>
      <fill>
        <patternFill patternType="solid">
          <fgColor rgb="FFFCE8E6"/>
          <bgColor rgb="FFFCE8E6"/>
        </patternFill>
      </fill>
      <border/>
    </dxf>
    <dxf>
      <font>
        <b/>
        <color rgb="FFC00000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
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M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1F2937"/>
                </a:solidFill>
                <a:latin typeface="+mn-lt"/>
              </a:defRPr>
            </a:pPr>
            <a:r>
              <a:rPr b="1" i="0">
                <a:solidFill>
                  <a:srgbClr val="1F2937"/>
                </a:solidFill>
                <a:latin typeface="+mn-lt"/>
              </a:rPr>
              <a:t>Revenue Growth by Segment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'C1 Revenue Build'!$D$60</c:f>
            </c:strRef>
          </c:tx>
          <c:spPr>
            <a:ln cmpd="sng" w="38100">
              <a:solidFill>
                <a:srgbClr val="91A9B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1A9BA">
                  <a:alpha val="100000"/>
                </a:srgbClr>
              </a:solidFill>
              <a:ln cmpd="sng">
                <a:solidFill>
                  <a:srgbClr val="91A9BA">
                    <a:alpha val="100000"/>
                  </a:srgbClr>
                </a:solidFill>
              </a:ln>
            </c:spPr>
          </c:marker>
          <c:cat>
            <c:strRef>
              <c:f>'C1 Revenue Build'!$C$61:$C$66</c:f>
            </c:strRef>
          </c:cat>
          <c:val>
            <c:numRef>
              <c:f>'C1 Revenue Build'!$D$61:$D$66</c:f>
              <c:numCache/>
            </c:numRef>
          </c:val>
          <c:smooth val="0"/>
        </c:ser>
        <c:ser>
          <c:idx val="1"/>
          <c:order val="1"/>
          <c:tx>
            <c:strRef>
              <c:f>'C1 Revenue Build'!$E$60</c:f>
            </c:strRef>
          </c:tx>
          <c:spPr>
            <a:ln cmpd="sng" w="38100">
              <a:solidFill>
                <a:srgbClr val="67D1C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67D1C1">
                  <a:alpha val="100000"/>
                </a:srgbClr>
              </a:solidFill>
              <a:ln cmpd="sng">
                <a:solidFill>
                  <a:srgbClr val="67D1C1">
                    <a:alpha val="100000"/>
                  </a:srgbClr>
                </a:solidFill>
              </a:ln>
            </c:spPr>
          </c:marker>
          <c:cat>
            <c:strRef>
              <c:f>'C1 Revenue Build'!$C$61:$C$66</c:f>
            </c:strRef>
          </c:cat>
          <c:val>
            <c:numRef>
              <c:f>'C1 Revenue Build'!$E$61:$E$66</c:f>
              <c:numCache/>
            </c:numRef>
          </c:val>
          <c:smooth val="0"/>
        </c:ser>
        <c:ser>
          <c:idx val="2"/>
          <c:order val="2"/>
          <c:tx>
            <c:strRef>
              <c:f>'C1 Revenue Build'!$F$60</c:f>
            </c:strRef>
          </c:tx>
          <c:spPr>
            <a:ln cmpd="sng" w="38100">
              <a:solidFill>
                <a:srgbClr val="4DA7C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DA7C4">
                  <a:alpha val="100000"/>
                </a:srgbClr>
              </a:solidFill>
              <a:ln cmpd="sng">
                <a:solidFill>
                  <a:srgbClr val="4DA7C4">
                    <a:alpha val="100000"/>
                  </a:srgbClr>
                </a:solidFill>
              </a:ln>
            </c:spPr>
          </c:marker>
          <c:cat>
            <c:strRef>
              <c:f>'C1 Revenue Build'!$C$61:$C$66</c:f>
            </c:strRef>
          </c:cat>
          <c:val>
            <c:numRef>
              <c:f>'C1 Revenue Build'!$F$61:$F$66</c:f>
              <c:numCache/>
            </c:numRef>
          </c:val>
          <c:smooth val="0"/>
        </c:ser>
        <c:axId val="768463157"/>
        <c:axId val="599600970"/>
      </c:lineChart>
      <c:catAx>
        <c:axId val="768463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9600970"/>
      </c:catAx>
      <c:valAx>
        <c:axId val="599600970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846315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'C1 Revenue Build'!$D$60</c:f>
            </c:strRef>
          </c:tx>
          <c:spPr>
            <a:ln cmpd="sng" w="19050">
              <a:solidFill>
                <a:srgbClr val="91A9B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91A9BA">
                  <a:alpha val="100000"/>
                </a:srgbClr>
              </a:solidFill>
              <a:ln cmpd="sng">
                <a:solidFill>
                  <a:srgbClr val="91A9BA">
                    <a:alpha val="100000"/>
                  </a:srgbClr>
                </a:solidFill>
              </a:ln>
            </c:spPr>
          </c:marker>
          <c:cat>
            <c:strRef>
              <c:f>'C1 Revenue Build'!$C$61:$C$66</c:f>
            </c:strRef>
          </c:cat>
          <c:val>
            <c:numRef>
              <c:f>'C1 Revenue Build'!$D$61:$D$66</c:f>
              <c:numCache/>
            </c:numRef>
          </c:val>
          <c:smooth val="0"/>
        </c:ser>
        <c:ser>
          <c:idx val="1"/>
          <c:order val="1"/>
          <c:tx>
            <c:strRef>
              <c:f>'C1 Revenue Build'!$E$60</c:f>
            </c:strRef>
          </c:tx>
          <c:spPr>
            <a:ln cmpd="sng" w="19050">
              <a:solidFill>
                <a:srgbClr val="67D1C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67D1C1">
                  <a:alpha val="100000"/>
                </a:srgbClr>
              </a:solidFill>
              <a:ln cmpd="sng">
                <a:solidFill>
                  <a:srgbClr val="67D1C1">
                    <a:alpha val="100000"/>
                  </a:srgbClr>
                </a:solidFill>
              </a:ln>
            </c:spPr>
          </c:marker>
          <c:cat>
            <c:strRef>
              <c:f>'C1 Revenue Build'!$C$61:$C$66</c:f>
            </c:strRef>
          </c:cat>
          <c:val>
            <c:numRef>
              <c:f>'C1 Revenue Build'!$E$61:$E$66</c:f>
              <c:numCache/>
            </c:numRef>
          </c:val>
          <c:smooth val="0"/>
        </c:ser>
        <c:ser>
          <c:idx val="2"/>
          <c:order val="2"/>
          <c:tx>
            <c:strRef>
              <c:f>'C1 Revenue Build'!$F$60</c:f>
            </c:strRef>
          </c:tx>
          <c:spPr>
            <a:ln cmpd="sng" w="19050">
              <a:solidFill>
                <a:srgbClr val="4DA7C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DA7C4">
                  <a:alpha val="100000"/>
                </a:srgbClr>
              </a:solidFill>
              <a:ln cmpd="sng">
                <a:solidFill>
                  <a:srgbClr val="4DA7C4">
                    <a:alpha val="100000"/>
                  </a:srgbClr>
                </a:solidFill>
              </a:ln>
            </c:spPr>
          </c:marker>
          <c:cat>
            <c:strRef>
              <c:f>'C1 Revenue Build'!$C$61:$C$66</c:f>
            </c:strRef>
          </c:cat>
          <c:val>
            <c:numRef>
              <c:f>'C1 Revenue Build'!$F$61:$F$66</c:f>
              <c:numCache/>
            </c:numRef>
          </c:val>
          <c:smooth val="0"/>
        </c:ser>
        <c:axId val="1420626070"/>
        <c:axId val="189291857"/>
      </c:lineChart>
      <c:catAx>
        <c:axId val="1420626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chemeClr val="lt1"/>
                </a:solidFill>
                <a:latin typeface="Arial"/>
              </a:defRPr>
            </a:pPr>
          </a:p>
        </c:txPr>
        <c:crossAx val="189291857"/>
      </c:catAx>
      <c:valAx>
        <c:axId val="189291857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Arial"/>
              </a:defRPr>
            </a:pPr>
          </a:p>
        </c:txPr>
        <c:crossAx val="14206260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chemeClr val="lt1"/>
              </a:solidFill>
              <a:latin typeface="Arial"/>
            </a:defRPr>
          </a:pPr>
        </a:p>
      </c:txPr>
    </c:legend>
    <c:plotVisOnly val="1"/>
  </c:chart>
  <c:spPr>
    <a:solidFill>
      <a:srgbClr val="17365D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58</xdr:row>
      <xdr:rowOff>47625</xdr:rowOff>
    </xdr:from>
    <xdr:ext cx="4391025" cy="2714625"/>
    <xdr:graphicFrame>
      <xdr:nvGraphicFramePr>
        <xdr:cNvPr id="1788817288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1562100</xdr:colOff>
      <xdr:row>58</xdr:row>
      <xdr:rowOff>47625</xdr:rowOff>
    </xdr:from>
    <xdr:ext cx="4391025" cy="2714625"/>
    <xdr:graphicFrame>
      <xdr:nvGraphicFramePr>
        <xdr:cNvPr id="1147331439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ple.com/newsroom/pdfs/fy2026-q1/FY26_Q1_Consolidated_Financial_Statements.pdf" TargetMode="External"/><Relationship Id="rId2" Type="http://schemas.openxmlformats.org/officeDocument/2006/relationships/hyperlink" Target="https://www.apple.com/newsroom/pdfs/fy2026-q2/FY26_Q2_Consolidated_Financial_Statements.pdf" TargetMode="External"/><Relationship Id="rId3" Type="http://schemas.openxmlformats.org/officeDocument/2006/relationships/hyperlink" Target="https://www.apple.com/newsroom/pdfs/fy2026-q3/FY26_Q3_Consolidated_Financial_Statements.pdf" TargetMode="External"/><Relationship Id="rId4" Type="http://schemas.openxmlformats.org/officeDocument/2006/relationships/hyperlink" Target="https://www.fool.com/earnings/call-transcripts/2026/08/07/apple-aapl-q3-2026-earnings-call-transcript/" TargetMode="External"/><Relationship Id="rId5" Type="http://schemas.openxmlformats.org/officeDocument/2006/relationships/hyperlink" Target="https://www.sec.gov/Archives/edgar/data/320193/000032019326000020/aapl-20260627.htm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tockanalysis.com/stocks/googl/statistics/" TargetMode="External"/><Relationship Id="rId2" Type="http://schemas.openxmlformats.org/officeDocument/2006/relationships/hyperlink" Target="https://stockanalysis.com/quote/krx/005930/financials/ratios/" TargetMode="External"/><Relationship Id="rId3" Type="http://schemas.openxmlformats.org/officeDocument/2006/relationships/hyperlink" Target="https://stockanalysis.com/stocks/sony/financials/ratios/" TargetMode="External"/><Relationship Id="rId4" Type="http://schemas.openxmlformats.org/officeDocument/2006/relationships/hyperlink" Target="https://www.morningstar.com/stocks/xnas/aapl/valuation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https://www.morningstar.com/stocks/xnys/sony/valuation" TargetMode="External"/><Relationship Id="rId5" Type="http://schemas.openxmlformats.org/officeDocument/2006/relationships/hyperlink" Target="https://www.morningstar.com/stocks/xnas/msft/valuation" TargetMode="External"/><Relationship Id="rId6" Type="http://schemas.openxmlformats.org/officeDocument/2006/relationships/hyperlink" Target="https://www.morningstar.com/stocks/xnas/goog/valuation" TargetMode="External"/><Relationship Id="rId7" Type="http://schemas.openxmlformats.org/officeDocument/2006/relationships/hyperlink" Target="https://www.morningstar.com/stocks/xnas/meta/valuation" TargetMode="External"/><Relationship Id="rId8" Type="http://schemas.openxmlformats.org/officeDocument/2006/relationships/hyperlink" Target="https://www.morningstar.com/stocks/xkrx/005930/valuation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9DA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0"/>
    <col customWidth="1" min="2" max="6" width="19.0"/>
    <col customWidth="1" min="7" max="7" width="3.0"/>
    <col customWidth="1" min="8" max="8" width="34.0"/>
    <col customWidth="1" min="9" max="9" width="20.0"/>
    <col customWidth="1" min="10" max="10" width="36.0"/>
    <col customWidth="1" min="11" max="11" width="58.0"/>
    <col customWidth="1" min="12" max="12" width="39.0"/>
    <col customWidth="1" min="13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r="A2" s="4" t="s">
        <v>1</v>
      </c>
      <c r="B2" s="4"/>
      <c r="C2" s="4"/>
      <c r="D2" s="4"/>
      <c r="E2" s="4"/>
      <c r="F2" s="4"/>
      <c r="G2" s="4"/>
      <c r="H2" s="4" t="s">
        <v>3</v>
      </c>
      <c r="I2" s="4"/>
      <c r="J2" s="4"/>
      <c r="K2" s="4"/>
      <c r="L2" s="4"/>
    </row>
    <row r="3" ht="14.25" customHeight="1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4.25" customHeight="1">
      <c r="A4" s="6" t="s">
        <v>5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1"/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</row>
    <row r="5" ht="14.25" customHeight="1">
      <c r="A5" s="9" t="s">
        <v>17</v>
      </c>
      <c r="B5" s="9"/>
      <c r="C5" s="9"/>
      <c r="D5" s="9"/>
      <c r="E5" s="9"/>
      <c r="F5" s="9"/>
      <c r="G5" s="1"/>
      <c r="H5" s="1" t="s">
        <v>21</v>
      </c>
      <c r="I5" s="13">
        <f>'C1 Revenue Build'!C13</f>
        <v>0.1044055589</v>
      </c>
      <c r="J5" s="1" t="s">
        <v>29</v>
      </c>
      <c r="K5" s="1" t="s">
        <v>30</v>
      </c>
      <c r="L5" s="1" t="s">
        <v>31</v>
      </c>
    </row>
    <row r="6" ht="14.25" customHeight="1">
      <c r="A6" s="1" t="s">
        <v>32</v>
      </c>
      <c r="B6" s="14">
        <v>73716.0</v>
      </c>
      <c r="C6" s="14">
        <v>113743.0</v>
      </c>
      <c r="D6" s="14">
        <v>80208.0</v>
      </c>
      <c r="E6" s="14">
        <v>78678.0</v>
      </c>
      <c r="F6" s="17">
        <f>'C1 Revenue Build'!D10</f>
        <v>80964.02</v>
      </c>
      <c r="G6" s="1"/>
      <c r="H6" s="1" t="s">
        <v>35</v>
      </c>
      <c r="I6" s="13">
        <f>'C1 Revenue Build'!C11</f>
        <v>0.12</v>
      </c>
      <c r="J6" s="1" t="s">
        <v>36</v>
      </c>
      <c r="K6" s="1" t="s">
        <v>37</v>
      </c>
      <c r="L6" s="1" t="s">
        <v>31</v>
      </c>
    </row>
    <row r="7" ht="14.25" customHeight="1">
      <c r="A7" s="1" t="s">
        <v>38</v>
      </c>
      <c r="B7" s="14">
        <v>28750.0</v>
      </c>
      <c r="C7" s="14">
        <v>30013.0</v>
      </c>
      <c r="D7" s="14">
        <v>30976.0</v>
      </c>
      <c r="E7" s="14">
        <v>30739.0</v>
      </c>
      <c r="F7" s="17">
        <f>'C1 Revenue Build'!D11</f>
        <v>32200</v>
      </c>
      <c r="G7" s="1"/>
      <c r="H7" s="1" t="s">
        <v>40</v>
      </c>
      <c r="I7" s="13">
        <v>0.475</v>
      </c>
      <c r="J7" s="1" t="s">
        <v>42</v>
      </c>
      <c r="K7" s="1" t="s">
        <v>43</v>
      </c>
      <c r="L7" s="1" t="s">
        <v>31</v>
      </c>
    </row>
    <row r="8" ht="14.25" customHeight="1">
      <c r="A8" s="18" t="s">
        <v>25</v>
      </c>
      <c r="B8" s="19">
        <v>102466.0</v>
      </c>
      <c r="C8" s="19">
        <v>143756.0</v>
      </c>
      <c r="D8" s="19">
        <v>111184.0</v>
      </c>
      <c r="E8" s="14">
        <v>109417.0</v>
      </c>
      <c r="F8" s="21">
        <f>'C1 Revenue Build'!D12</f>
        <v>113164.02</v>
      </c>
      <c r="G8" s="1"/>
      <c r="H8" s="1" t="s">
        <v>45</v>
      </c>
      <c r="I8" s="13">
        <v>0.755</v>
      </c>
      <c r="J8" s="1" t="s">
        <v>46</v>
      </c>
      <c r="K8" s="1" t="s">
        <v>47</v>
      </c>
      <c r="L8" s="1" t="s">
        <v>48</v>
      </c>
    </row>
    <row r="9" ht="14.25" customHeight="1">
      <c r="A9" s="1" t="s">
        <v>49</v>
      </c>
      <c r="B9" s="14">
        <v>47019.0</v>
      </c>
      <c r="C9" s="14">
        <v>67478.0</v>
      </c>
      <c r="D9" s="14">
        <v>49179.0</v>
      </c>
      <c r="E9" s="14">
        <v>47153.0</v>
      </c>
      <c r="F9" s="17">
        <f>F6-(F12-(F7-F10))</f>
        <v>51522.1105</v>
      </c>
      <c r="G9" s="1"/>
      <c r="H9" s="1" t="s">
        <v>52</v>
      </c>
      <c r="I9" s="27">
        <v>19250.0</v>
      </c>
      <c r="J9" s="1" t="s">
        <v>55</v>
      </c>
      <c r="K9" s="1" t="s">
        <v>56</v>
      </c>
      <c r="L9" s="1" t="s">
        <v>31</v>
      </c>
    </row>
    <row r="10" ht="14.25" customHeight="1">
      <c r="A10" s="1" t="s">
        <v>57</v>
      </c>
      <c r="B10" s="14">
        <v>7106.0</v>
      </c>
      <c r="C10" s="14">
        <v>7047.0</v>
      </c>
      <c r="D10" s="14">
        <v>7224.0</v>
      </c>
      <c r="E10" s="14">
        <v>7494.0</v>
      </c>
      <c r="F10" s="17">
        <f>F7*(1-$I$8)</f>
        <v>7889</v>
      </c>
      <c r="G10" s="1"/>
      <c r="H10" s="1" t="s">
        <v>59</v>
      </c>
      <c r="I10" s="13">
        <v>0.614888597640891</v>
      </c>
      <c r="J10" s="1" t="s">
        <v>60</v>
      </c>
      <c r="K10" s="1" t="s">
        <v>61</v>
      </c>
      <c r="L10" s="1" t="s">
        <v>62</v>
      </c>
    </row>
    <row r="11" ht="14.25" customHeight="1">
      <c r="A11" s="18" t="s">
        <v>34</v>
      </c>
      <c r="B11" s="19">
        <v>54125.0</v>
      </c>
      <c r="C11" s="19">
        <v>74525.0</v>
      </c>
      <c r="D11" s="19">
        <v>56403.0</v>
      </c>
      <c r="E11" s="14">
        <v>54647.0</v>
      </c>
      <c r="F11" s="17">
        <f>F9+F10</f>
        <v>59411.1105</v>
      </c>
      <c r="G11" s="1"/>
      <c r="H11" s="1" t="s">
        <v>63</v>
      </c>
      <c r="I11" s="27">
        <v>350.0</v>
      </c>
      <c r="J11" s="1" t="s">
        <v>64</v>
      </c>
      <c r="K11" s="1" t="s">
        <v>65</v>
      </c>
      <c r="L11" s="1" t="s">
        <v>31</v>
      </c>
    </row>
    <row r="12" ht="14.25" customHeight="1">
      <c r="A12" s="18" t="s">
        <v>66</v>
      </c>
      <c r="B12" s="19">
        <v>48341.0</v>
      </c>
      <c r="C12" s="19">
        <v>69231.0</v>
      </c>
      <c r="D12" s="19">
        <v>54781.0</v>
      </c>
      <c r="E12" s="14">
        <v>54770.0</v>
      </c>
      <c r="F12" s="17">
        <f>F8*$I$7</f>
        <v>53752.9095</v>
      </c>
      <c r="G12" s="1"/>
      <c r="H12" s="1" t="s">
        <v>67</v>
      </c>
      <c r="I12" s="13">
        <v>0.165</v>
      </c>
      <c r="J12" s="1" t="s">
        <v>68</v>
      </c>
      <c r="K12" s="1" t="s">
        <v>69</v>
      </c>
      <c r="L12" s="1" t="s">
        <v>31</v>
      </c>
    </row>
    <row r="13" ht="14.25" customHeight="1">
      <c r="A13" s="1" t="s">
        <v>70</v>
      </c>
      <c r="B13" s="31">
        <v>0.471776003747585</v>
      </c>
      <c r="C13" s="31">
        <v>0.481586855505162</v>
      </c>
      <c r="D13" s="31">
        <v>0.492705785005037</v>
      </c>
      <c r="E13" s="31">
        <v>0.500562069879452</v>
      </c>
      <c r="F13" s="32">
        <f>F12/F8</f>
        <v>0.475</v>
      </c>
      <c r="G13" s="1"/>
      <c r="H13" s="1" t="s">
        <v>74</v>
      </c>
      <c r="I13" s="34">
        <v>14650.0</v>
      </c>
      <c r="J13" s="1" t="s">
        <v>75</v>
      </c>
      <c r="K13" s="1" t="s">
        <v>77</v>
      </c>
      <c r="L13" s="1" t="s">
        <v>62</v>
      </c>
    </row>
    <row r="14" ht="14.25" customHeight="1">
      <c r="A14" s="1" t="s">
        <v>78</v>
      </c>
      <c r="B14" s="31">
        <v>0.362160182321341</v>
      </c>
      <c r="C14" s="31">
        <v>0.406750305513306</v>
      </c>
      <c r="D14" s="31">
        <v>0.386856672651107</v>
      </c>
      <c r="E14" s="31">
        <v>0.400683799791555</v>
      </c>
      <c r="F14" s="32">
        <f t="shared" ref="F14:F15" si="1">(F6-F9)/F6</f>
        <v>0.363641893</v>
      </c>
      <c r="G14" s="1"/>
      <c r="H14" s="1"/>
      <c r="I14" s="1"/>
      <c r="J14" s="1"/>
      <c r="K14" s="1"/>
      <c r="L14" s="1"/>
    </row>
    <row r="15" ht="14.25" customHeight="1">
      <c r="A15" s="1" t="s">
        <v>81</v>
      </c>
      <c r="B15" s="31">
        <v>0.752834782608696</v>
      </c>
      <c r="C15" s="31">
        <v>0.765201745910106</v>
      </c>
      <c r="D15" s="31">
        <v>0.766787190082645</v>
      </c>
      <c r="E15" s="31">
        <v>0.756205471876118</v>
      </c>
      <c r="F15" s="32">
        <f t="shared" si="1"/>
        <v>0.755</v>
      </c>
      <c r="G15" s="1"/>
      <c r="H15" s="1" t="s">
        <v>82</v>
      </c>
      <c r="I15" s="1"/>
      <c r="J15" s="1"/>
      <c r="K15" s="1"/>
      <c r="L15" s="1"/>
    </row>
    <row r="16" ht="14.25" customHeight="1">
      <c r="A16" s="1"/>
      <c r="B16" s="1"/>
      <c r="C16" s="1"/>
      <c r="D16" s="1"/>
      <c r="E16" s="1"/>
      <c r="F16" s="36"/>
      <c r="G16" s="1"/>
      <c r="H16" s="1" t="s">
        <v>85</v>
      </c>
      <c r="I16" s="1" t="s">
        <v>86</v>
      </c>
      <c r="J16" s="1"/>
      <c r="K16" s="1"/>
      <c r="L16" s="1"/>
    </row>
    <row r="17" ht="14.25" customHeight="1">
      <c r="A17" s="9" t="s">
        <v>87</v>
      </c>
      <c r="B17" s="9"/>
      <c r="C17" s="9"/>
      <c r="D17" s="9"/>
      <c r="E17" s="9"/>
      <c r="F17" s="37"/>
      <c r="G17" s="1"/>
      <c r="H17" s="1" t="s">
        <v>88</v>
      </c>
      <c r="I17" s="1" t="s">
        <v>89</v>
      </c>
      <c r="J17" s="1"/>
      <c r="K17" s="1"/>
      <c r="L17" s="1"/>
    </row>
    <row r="18" ht="14.25" customHeight="1">
      <c r="A18" s="1" t="s">
        <v>90</v>
      </c>
      <c r="B18" s="14">
        <v>8866.0</v>
      </c>
      <c r="C18" s="14">
        <v>10887.0</v>
      </c>
      <c r="D18" s="14">
        <v>11419.0</v>
      </c>
      <c r="E18" s="14">
        <v>11729.0</v>
      </c>
      <c r="F18" s="17">
        <f>F20*$I$10</f>
        <v>11836.6055</v>
      </c>
      <c r="G18" s="1"/>
      <c r="H18" s="1" t="s">
        <v>93</v>
      </c>
      <c r="I18" s="1" t="s">
        <v>95</v>
      </c>
      <c r="J18" s="1"/>
      <c r="K18" s="1"/>
      <c r="L18" s="1"/>
    </row>
    <row r="19" ht="14.25" customHeight="1">
      <c r="A19" s="1" t="s">
        <v>97</v>
      </c>
      <c r="B19" s="14">
        <v>7048.0</v>
      </c>
      <c r="C19" s="14">
        <v>7492.0</v>
      </c>
      <c r="D19" s="14">
        <v>7477.0</v>
      </c>
      <c r="E19" s="14">
        <v>7346.0</v>
      </c>
      <c r="F19" s="17">
        <f>F20-F18</f>
        <v>7413.394495</v>
      </c>
      <c r="G19" s="1"/>
      <c r="H19" s="1"/>
      <c r="I19" s="1"/>
      <c r="J19" s="1"/>
      <c r="K19" s="1"/>
      <c r="L19" s="1"/>
    </row>
    <row r="20" ht="14.25" customHeight="1">
      <c r="A20" s="18" t="s">
        <v>52</v>
      </c>
      <c r="B20" s="19">
        <v>15914.0</v>
      </c>
      <c r="C20" s="19">
        <v>18379.0</v>
      </c>
      <c r="D20" s="19">
        <v>18896.0</v>
      </c>
      <c r="E20" s="14">
        <v>19075.0</v>
      </c>
      <c r="F20" s="17">
        <f>$I$9</f>
        <v>19250</v>
      </c>
      <c r="G20" s="1"/>
      <c r="H20" s="1"/>
      <c r="I20" s="1"/>
      <c r="J20" s="1"/>
      <c r="K20" s="1"/>
      <c r="L20" s="1"/>
    </row>
    <row r="21" ht="14.25" customHeight="1">
      <c r="A21" s="18" t="s">
        <v>39</v>
      </c>
      <c r="B21" s="19">
        <v>32427.0</v>
      </c>
      <c r="C21" s="19">
        <v>50852.0</v>
      </c>
      <c r="D21" s="19">
        <v>35885.0</v>
      </c>
      <c r="E21" s="14">
        <v>35695.0</v>
      </c>
      <c r="F21" s="17">
        <f>F12-F20</f>
        <v>34502.9095</v>
      </c>
      <c r="G21" s="1"/>
      <c r="H21" s="1"/>
      <c r="I21" s="1"/>
      <c r="J21" s="1"/>
      <c r="K21" s="1"/>
      <c r="L21" s="1"/>
    </row>
    <row r="22" ht="14.25" customHeight="1">
      <c r="A22" s="1" t="s">
        <v>103</v>
      </c>
      <c r="B22" s="31">
        <v>0.31646594968087</v>
      </c>
      <c r="C22" s="31">
        <v>0.353738278750104</v>
      </c>
      <c r="D22" s="31">
        <v>0.322753273852353</v>
      </c>
      <c r="E22" s="31">
        <v>0.326229013772997</v>
      </c>
      <c r="F22" s="32">
        <f>F21/F8</f>
        <v>0.3048929289</v>
      </c>
      <c r="G22" s="1"/>
      <c r="H22" s="1"/>
      <c r="I22" s="1"/>
      <c r="J22" s="1"/>
      <c r="K22" s="1"/>
      <c r="L22" s="1"/>
    </row>
    <row r="23" ht="14.25" customHeight="1">
      <c r="A23" s="1"/>
      <c r="B23" s="1"/>
      <c r="C23" s="1"/>
      <c r="D23" s="1"/>
      <c r="E23" s="1"/>
      <c r="F23" s="36"/>
      <c r="G23" s="1"/>
      <c r="H23" s="1"/>
      <c r="I23" s="1"/>
      <c r="J23" s="1"/>
      <c r="K23" s="1"/>
      <c r="L23" s="1"/>
    </row>
    <row r="24" ht="14.25" customHeight="1">
      <c r="A24" s="9" t="s">
        <v>107</v>
      </c>
      <c r="B24" s="9"/>
      <c r="C24" s="9"/>
      <c r="D24" s="9"/>
      <c r="E24" s="9"/>
      <c r="F24" s="37"/>
      <c r="G24" s="1"/>
      <c r="H24" s="1"/>
      <c r="I24" s="1"/>
      <c r="J24" s="1"/>
      <c r="K24" s="1"/>
      <c r="L24" s="1"/>
    </row>
    <row r="25" ht="14.25" customHeight="1">
      <c r="A25" s="1" t="s">
        <v>63</v>
      </c>
      <c r="B25" s="14">
        <v>377.0</v>
      </c>
      <c r="C25" s="14">
        <v>150.0</v>
      </c>
      <c r="D25" s="14">
        <v>-52.0</v>
      </c>
      <c r="E25" s="14">
        <v>572.0</v>
      </c>
      <c r="F25" s="17">
        <f>$I$11</f>
        <v>350</v>
      </c>
      <c r="G25" s="1"/>
      <c r="H25" s="1"/>
      <c r="I25" s="1"/>
      <c r="J25" s="1"/>
      <c r="K25" s="1"/>
      <c r="L25" s="1"/>
    </row>
    <row r="26" ht="14.25" customHeight="1">
      <c r="A26" s="18" t="s">
        <v>113</v>
      </c>
      <c r="B26" s="19">
        <v>32804.0</v>
      </c>
      <c r="C26" s="19">
        <v>51002.0</v>
      </c>
      <c r="D26" s="19">
        <v>35833.0</v>
      </c>
      <c r="E26" s="14">
        <v>36267.0</v>
      </c>
      <c r="F26" s="17">
        <f>F21+F25</f>
        <v>34852.9095</v>
      </c>
      <c r="G26" s="1"/>
      <c r="H26" s="1"/>
      <c r="I26" s="1"/>
      <c r="J26" s="1"/>
      <c r="K26" s="1"/>
      <c r="L26" s="1"/>
    </row>
    <row r="27" ht="14.25" customHeight="1">
      <c r="A27" s="1" t="s">
        <v>67</v>
      </c>
      <c r="B27" s="31">
        <v>0.162724058041702</v>
      </c>
      <c r="C27" s="31">
        <v>0.174600996039371</v>
      </c>
      <c r="D27" s="31">
        <v>0.174559763346636</v>
      </c>
      <c r="E27" s="31">
        <v>0.178619681804395</v>
      </c>
      <c r="F27" s="32">
        <f>$I$12</f>
        <v>0.165</v>
      </c>
      <c r="G27" s="1"/>
      <c r="H27" s="1"/>
      <c r="I27" s="1"/>
      <c r="J27" s="1"/>
      <c r="K27" s="1"/>
      <c r="L27" s="1"/>
    </row>
    <row r="28" ht="14.25" customHeight="1">
      <c r="A28" s="1" t="s">
        <v>119</v>
      </c>
      <c r="B28" s="14">
        <v>5338.0</v>
      </c>
      <c r="C28" s="14">
        <v>8905.0</v>
      </c>
      <c r="D28" s="14">
        <v>6255.0</v>
      </c>
      <c r="E28" s="14">
        <v>6478.0</v>
      </c>
      <c r="F28" s="17">
        <f>F26*F27</f>
        <v>5750.730068</v>
      </c>
      <c r="G28" s="1"/>
      <c r="H28" s="1"/>
      <c r="I28" s="1"/>
      <c r="J28" s="1"/>
      <c r="K28" s="1"/>
      <c r="L28" s="1"/>
    </row>
    <row r="29" ht="14.25" customHeight="1">
      <c r="A29" s="18" t="s">
        <v>41</v>
      </c>
      <c r="B29" s="19">
        <v>27466.0</v>
      </c>
      <c r="C29" s="19">
        <v>42097.0</v>
      </c>
      <c r="D29" s="19">
        <v>29578.0</v>
      </c>
      <c r="E29" s="14">
        <v>29789.0</v>
      </c>
      <c r="F29" s="21">
        <f>F26-F28</f>
        <v>29102.17943</v>
      </c>
      <c r="G29" s="1"/>
      <c r="H29" s="1"/>
      <c r="I29" s="1"/>
      <c r="J29" s="1"/>
      <c r="K29" s="1"/>
      <c r="L29" s="1"/>
    </row>
    <row r="30" ht="14.25" customHeight="1">
      <c r="A30" s="1" t="s">
        <v>74</v>
      </c>
      <c r="B30" s="43">
        <v>14863.61</v>
      </c>
      <c r="C30" s="43">
        <v>14810.36</v>
      </c>
      <c r="D30" s="43">
        <v>14725.87</v>
      </c>
      <c r="E30" s="43">
        <v>14714.68</v>
      </c>
      <c r="F30" s="45">
        <f>$I$13</f>
        <v>14650</v>
      </c>
      <c r="G30" s="1"/>
      <c r="H30" s="1"/>
      <c r="I30" s="1"/>
      <c r="J30" s="1"/>
      <c r="K30" s="1"/>
      <c r="L30" s="1"/>
    </row>
    <row r="31" ht="14.25" customHeight="1">
      <c r="A31" s="18" t="s">
        <v>44</v>
      </c>
      <c r="B31" s="46">
        <v>1.85</v>
      </c>
      <c r="C31" s="46">
        <v>2.84</v>
      </c>
      <c r="D31" s="46">
        <v>2.01</v>
      </c>
      <c r="E31" s="47">
        <v>2.02</v>
      </c>
      <c r="F31" s="53">
        <f>F29/F30</f>
        <v>1.98649689</v>
      </c>
      <c r="G31" s="1"/>
      <c r="H31" s="1"/>
      <c r="I31" s="1"/>
      <c r="J31" s="1"/>
      <c r="K31" s="1"/>
      <c r="L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4.25" customHeight="1">
      <c r="A33" s="18" t="s">
        <v>130</v>
      </c>
      <c r="B33" s="46">
        <v>0.00213127900960819</v>
      </c>
      <c r="C33" s="46">
        <v>-0.0024022103446506</v>
      </c>
      <c r="D33" s="46">
        <v>0.00142597347389328</v>
      </c>
      <c r="E33" s="47">
        <v>-0.00444089847689533</v>
      </c>
      <c r="F33" s="47">
        <f>F31-(F29/F30)</f>
        <v>0</v>
      </c>
      <c r="G33" s="1"/>
      <c r="H33" s="1"/>
      <c r="I33" s="1"/>
      <c r="J33" s="1"/>
      <c r="K33" s="1"/>
      <c r="L33" s="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2.0"/>
    <col customWidth="1" min="2" max="3" width="19.0"/>
    <col customWidth="1" min="4" max="4" width="35.0"/>
    <col customWidth="1" min="5" max="5" width="78.0"/>
    <col customWidth="1" min="6" max="26" width="9.0"/>
  </cols>
  <sheetData>
    <row r="1" ht="14.25" customHeight="1">
      <c r="A1" s="2"/>
      <c r="B1" s="2"/>
      <c r="C1" s="2"/>
      <c r="D1" s="2"/>
      <c r="E1" s="2"/>
    </row>
    <row r="2" ht="30.0" customHeight="1">
      <c r="A2" s="3" t="s">
        <v>18</v>
      </c>
      <c r="B2" s="2"/>
      <c r="C2" s="2"/>
      <c r="D2" s="2"/>
      <c r="E2" s="2"/>
    </row>
    <row r="3" ht="21.0" customHeight="1">
      <c r="A3" s="5" t="s">
        <v>23</v>
      </c>
      <c r="B3" s="2"/>
      <c r="C3" s="2"/>
      <c r="D3" s="2"/>
      <c r="E3" s="2"/>
    </row>
    <row r="4" ht="14.25" customHeight="1">
      <c r="A4" s="2"/>
      <c r="B4" s="2"/>
      <c r="C4" s="2"/>
      <c r="D4" s="2"/>
      <c r="E4" s="2"/>
    </row>
    <row r="5" ht="27.75" customHeight="1">
      <c r="A5" s="7" t="s">
        <v>24</v>
      </c>
      <c r="B5" s="8" t="s">
        <v>7</v>
      </c>
      <c r="C5" s="8" t="s">
        <v>10</v>
      </c>
      <c r="D5" s="8" t="s">
        <v>11</v>
      </c>
      <c r="E5" s="7" t="s">
        <v>26</v>
      </c>
    </row>
    <row r="6" ht="21.75" customHeight="1">
      <c r="A6" s="10" t="s">
        <v>27</v>
      </c>
      <c r="B6" s="11"/>
      <c r="C6" s="11"/>
      <c r="D6" s="11"/>
      <c r="E6" s="10"/>
    </row>
    <row r="7" ht="33.75" customHeight="1">
      <c r="A7" s="2" t="s">
        <v>28</v>
      </c>
      <c r="B7" s="12">
        <v>35934.0</v>
      </c>
      <c r="C7" s="12">
        <v>39544.0</v>
      </c>
      <c r="D7" s="24">
        <f>IF(OR(COUNT(D40)&lt;1,COUNT(D8:D12,D16:D19)&lt;9),"",D40-SUM(D8:D12,D16:D19))</f>
        <v>29228.98136</v>
      </c>
      <c r="E7" s="26" t="s">
        <v>51</v>
      </c>
    </row>
    <row r="8" ht="14.25" customHeight="1">
      <c r="A8" s="2" t="s">
        <v>53</v>
      </c>
      <c r="B8" s="12">
        <v>18763.0</v>
      </c>
      <c r="C8" s="12">
        <v>22855.0</v>
      </c>
      <c r="D8" s="24">
        <f>C8</f>
        <v>22855</v>
      </c>
      <c r="E8" s="33" t="s">
        <v>73</v>
      </c>
    </row>
    <row r="9" ht="14.25" customHeight="1">
      <c r="A9" s="2" t="s">
        <v>76</v>
      </c>
      <c r="B9" s="12">
        <v>39777.0</v>
      </c>
      <c r="C9" s="12">
        <v>31398.0</v>
      </c>
      <c r="D9" s="24">
        <f>IF(COUNT('A2 Q4 Drivers'!D7,'A2 Q4 Drivers'!D15)&lt;2,"",'A2 Q4 Drivers'!D7/'A2 Q4 Drivers'!D15)</f>
        <v>43929.93992</v>
      </c>
      <c r="E9" s="33" t="s">
        <v>91</v>
      </c>
    </row>
    <row r="10" ht="14.25" customHeight="1">
      <c r="A10" s="2" t="s">
        <v>92</v>
      </c>
      <c r="B10" s="12">
        <v>33180.0</v>
      </c>
      <c r="C10" s="12">
        <v>27509.0</v>
      </c>
      <c r="D10" s="24">
        <f>IF(COUNT('A2 Q4 Drivers'!D8,'A2 Q4 Drivers'!D16)&lt;2,"",'A2 Q4 Drivers'!D8/'A2 Q4 Drivers'!D16)</f>
        <v>36420.52003</v>
      </c>
      <c r="E10" s="33" t="s">
        <v>98</v>
      </c>
    </row>
    <row r="11" ht="33.75" customHeight="1">
      <c r="A11" s="2" t="s">
        <v>99</v>
      </c>
      <c r="B11" s="12">
        <v>5718.0</v>
      </c>
      <c r="C11" s="12">
        <v>11092.0</v>
      </c>
      <c r="D11" s="24">
        <f>IF(COUNT('A2 Q4 Drivers'!D8,'A2 Q4 Drivers'!D17)&lt;2,"",'A2 Q4 Drivers'!D8/'A2 Q4 Drivers'!D17)</f>
        <v>12058.99752</v>
      </c>
      <c r="E11" s="26" t="s">
        <v>104</v>
      </c>
    </row>
    <row r="12" ht="14.25" customHeight="1">
      <c r="A12" s="2" t="s">
        <v>105</v>
      </c>
      <c r="B12" s="12">
        <v>14585.0</v>
      </c>
      <c r="C12" s="12">
        <v>17420.0</v>
      </c>
      <c r="D12" s="24">
        <f>C12</f>
        <v>17420</v>
      </c>
      <c r="E12" s="33" t="s">
        <v>109</v>
      </c>
    </row>
    <row r="13" ht="14.25" customHeight="1">
      <c r="A13" s="39" t="s">
        <v>111</v>
      </c>
      <c r="B13" s="40">
        <f t="shared" ref="B13:C13" si="1">SUM(B7:B12)</f>
        <v>147957</v>
      </c>
      <c r="C13" s="40">
        <f t="shared" si="1"/>
        <v>149818</v>
      </c>
      <c r="D13" s="40">
        <f>IF(COUNT(D7:D12)&lt;6,"",SUM(D7:D12))</f>
        <v>161913.4388</v>
      </c>
      <c r="E13" s="33" t="s">
        <v>126</v>
      </c>
    </row>
    <row r="14" ht="14.25" customHeight="1">
      <c r="A14" s="2"/>
      <c r="B14" s="12"/>
      <c r="C14" s="12"/>
      <c r="D14" s="24"/>
      <c r="E14" s="33"/>
    </row>
    <row r="15" ht="21.75" customHeight="1">
      <c r="A15" s="10" t="s">
        <v>127</v>
      </c>
      <c r="B15" s="48"/>
      <c r="C15" s="48"/>
      <c r="D15" s="51"/>
      <c r="E15" s="52"/>
    </row>
    <row r="16" ht="14.25" customHeight="1">
      <c r="A16" s="2" t="s">
        <v>129</v>
      </c>
      <c r="B16" s="12">
        <v>77723.0</v>
      </c>
      <c r="C16" s="12">
        <v>84118.0</v>
      </c>
      <c r="D16" s="24">
        <f t="shared" ref="D16:D19" si="2">C16</f>
        <v>84118</v>
      </c>
      <c r="E16" s="33" t="s">
        <v>109</v>
      </c>
    </row>
    <row r="17" ht="14.25" customHeight="1">
      <c r="A17" s="2" t="s">
        <v>132</v>
      </c>
      <c r="B17" s="12">
        <v>49834.0</v>
      </c>
      <c r="C17" s="12">
        <v>51431.0</v>
      </c>
      <c r="D17" s="24">
        <f t="shared" si="2"/>
        <v>51431</v>
      </c>
      <c r="E17" s="33" t="s">
        <v>135</v>
      </c>
    </row>
    <row r="18" ht="14.25" customHeight="1">
      <c r="A18" s="2" t="s">
        <v>137</v>
      </c>
      <c r="B18" s="12">
        <v>11093.0</v>
      </c>
      <c r="C18" s="12">
        <v>20342.0</v>
      </c>
      <c r="D18" s="24">
        <f t="shared" si="2"/>
        <v>20342</v>
      </c>
      <c r="E18" s="33" t="s">
        <v>139</v>
      </c>
    </row>
    <row r="19" ht="14.25" customHeight="1">
      <c r="A19" s="2" t="s">
        <v>140</v>
      </c>
      <c r="B19" s="12">
        <v>72634.0</v>
      </c>
      <c r="C19" s="12">
        <v>77557.0</v>
      </c>
      <c r="D19" s="24">
        <f t="shared" si="2"/>
        <v>77557</v>
      </c>
      <c r="E19" s="33" t="s">
        <v>109</v>
      </c>
    </row>
    <row r="20" ht="14.25" customHeight="1">
      <c r="A20" s="39" t="s">
        <v>145</v>
      </c>
      <c r="B20" s="40">
        <f t="shared" ref="B20:C20" si="3">SUM(B16:B19)</f>
        <v>211284</v>
      </c>
      <c r="C20" s="40">
        <f t="shared" si="3"/>
        <v>233448</v>
      </c>
      <c r="D20" s="40">
        <f>IF(COUNT(D16:D19)&lt;4,"",SUM(D16:D19))</f>
        <v>233448</v>
      </c>
      <c r="E20" s="33" t="s">
        <v>126</v>
      </c>
    </row>
    <row r="21" ht="14.25" customHeight="1">
      <c r="A21" s="39" t="s">
        <v>157</v>
      </c>
      <c r="B21" s="40">
        <f t="shared" ref="B21:C21" si="4">B13+B20</f>
        <v>359241</v>
      </c>
      <c r="C21" s="40">
        <f t="shared" si="4"/>
        <v>383266</v>
      </c>
      <c r="D21" s="40">
        <f>IF(COUNT(D13,D20)&lt;2,"",D13+D20)</f>
        <v>395361.4388</v>
      </c>
      <c r="E21" s="33" t="s">
        <v>126</v>
      </c>
    </row>
    <row r="22" ht="14.25" customHeight="1">
      <c r="A22" s="2"/>
      <c r="B22" s="12"/>
      <c r="C22" s="12"/>
      <c r="D22" s="24"/>
      <c r="E22" s="33"/>
    </row>
    <row r="23" ht="21.75" customHeight="1">
      <c r="A23" s="10" t="s">
        <v>167</v>
      </c>
      <c r="B23" s="48"/>
      <c r="C23" s="48"/>
      <c r="D23" s="51"/>
      <c r="E23" s="52"/>
    </row>
    <row r="24" ht="14.25" customHeight="1">
      <c r="A24" s="2" t="s">
        <v>168</v>
      </c>
      <c r="B24" s="12">
        <v>69860.0</v>
      </c>
      <c r="C24" s="12">
        <v>64525.0</v>
      </c>
      <c r="D24" s="24">
        <f>IF(COUNT('A2 Q4 Drivers'!D8,'A2 Q4 Drivers'!D18)&lt;2,"",'A2 Q4 Drivers'!D8/'A2 Q4 Drivers'!D18)</f>
        <v>76682.86706</v>
      </c>
      <c r="E24" s="33" t="s">
        <v>169</v>
      </c>
    </row>
    <row r="25" ht="14.25" customHeight="1">
      <c r="A25" s="2" t="s">
        <v>170</v>
      </c>
      <c r="B25" s="12">
        <v>66387.0</v>
      </c>
      <c r="C25" s="12">
        <v>62259.0</v>
      </c>
      <c r="D25" s="24">
        <f>C25</f>
        <v>62259</v>
      </c>
      <c r="E25" s="33" t="s">
        <v>109</v>
      </c>
    </row>
    <row r="26" ht="14.25" customHeight="1">
      <c r="A26" s="2" t="s">
        <v>171</v>
      </c>
      <c r="B26" s="12">
        <v>9055.0</v>
      </c>
      <c r="C26" s="12">
        <v>9538.0</v>
      </c>
      <c r="D26" s="24">
        <f>IF(COUNT('A2 Q4 Drivers'!D7,'A2 Q4 Drivers'!D19)&lt;2,"",'A2 Q4 Drivers'!D7/'A2 Q4 Drivers'!D19)</f>
        <v>10000.39234</v>
      </c>
      <c r="E26" s="33" t="s">
        <v>172</v>
      </c>
    </row>
    <row r="27" ht="14.25" customHeight="1">
      <c r="A27" s="2" t="s">
        <v>173</v>
      </c>
      <c r="B27" s="12">
        <v>7979.0</v>
      </c>
      <c r="C27" s="12">
        <v>1997.0</v>
      </c>
      <c r="D27" s="24">
        <f t="shared" ref="D27:D28" si="5">C27</f>
        <v>1997</v>
      </c>
      <c r="E27" s="33" t="s">
        <v>174</v>
      </c>
    </row>
    <row r="28" ht="14.25" customHeight="1">
      <c r="A28" s="2" t="s">
        <v>175</v>
      </c>
      <c r="B28" s="12">
        <v>12350.0</v>
      </c>
      <c r="C28" s="12">
        <v>11007.0</v>
      </c>
      <c r="D28" s="24">
        <f t="shared" si="5"/>
        <v>11007</v>
      </c>
      <c r="E28" s="33" t="s">
        <v>176</v>
      </c>
    </row>
    <row r="29" ht="14.25" customHeight="1">
      <c r="A29" s="39" t="s">
        <v>177</v>
      </c>
      <c r="B29" s="40">
        <f t="shared" ref="B29:C29" si="6">SUM(B24:B28)</f>
        <v>165631</v>
      </c>
      <c r="C29" s="40">
        <f t="shared" si="6"/>
        <v>149326</v>
      </c>
      <c r="D29" s="40">
        <f>IF(COUNT(D24:D28)&lt;5,"",SUM(D24:D28))</f>
        <v>161946.2594</v>
      </c>
      <c r="E29" s="33" t="s">
        <v>126</v>
      </c>
    </row>
    <row r="30" ht="21.75" customHeight="1">
      <c r="A30" s="10" t="s">
        <v>180</v>
      </c>
      <c r="B30" s="48"/>
      <c r="C30" s="48"/>
      <c r="D30" s="51"/>
      <c r="E30" s="52"/>
    </row>
    <row r="31" ht="14.25" customHeight="1">
      <c r="A31" s="2" t="s">
        <v>182</v>
      </c>
      <c r="B31" s="12">
        <v>78328.0</v>
      </c>
      <c r="C31" s="12">
        <v>71340.0</v>
      </c>
      <c r="D31" s="24">
        <f t="shared" ref="D31:D32" si="7">C31</f>
        <v>71340</v>
      </c>
      <c r="E31" s="33" t="s">
        <v>176</v>
      </c>
    </row>
    <row r="32" ht="14.25" customHeight="1">
      <c r="A32" s="2" t="s">
        <v>183</v>
      </c>
      <c r="B32" s="12">
        <v>41549.0</v>
      </c>
      <c r="C32" s="12">
        <v>55080.0</v>
      </c>
      <c r="D32" s="24">
        <f t="shared" si="7"/>
        <v>55080</v>
      </c>
      <c r="E32" s="33" t="s">
        <v>109</v>
      </c>
    </row>
    <row r="33" ht="14.25" customHeight="1">
      <c r="A33" s="39" t="s">
        <v>184</v>
      </c>
      <c r="B33" s="40">
        <f t="shared" ref="B33:C33" si="8">SUM(B31:B32)</f>
        <v>119877</v>
      </c>
      <c r="C33" s="40">
        <f t="shared" si="8"/>
        <v>126420</v>
      </c>
      <c r="D33" s="40">
        <f>IF(COUNT(D31:D32)&lt;2,"",SUM(D31:D32))</f>
        <v>126420</v>
      </c>
      <c r="E33" s="33" t="s">
        <v>126</v>
      </c>
    </row>
    <row r="34" ht="14.25" customHeight="1">
      <c r="A34" s="39" t="s">
        <v>192</v>
      </c>
      <c r="B34" s="40">
        <f t="shared" ref="B34:C34" si="9">B29+B33</f>
        <v>285508</v>
      </c>
      <c r="C34" s="40">
        <f t="shared" si="9"/>
        <v>275746</v>
      </c>
      <c r="D34" s="40">
        <f>IF(COUNT(D29,D33)&lt;2,"",D29+D33)</f>
        <v>288366.2594</v>
      </c>
      <c r="E34" s="33" t="s">
        <v>126</v>
      </c>
    </row>
    <row r="35" ht="21.75" customHeight="1">
      <c r="A35" s="10" t="s">
        <v>196</v>
      </c>
      <c r="B35" s="48"/>
      <c r="C35" s="48"/>
      <c r="D35" s="51"/>
      <c r="E35" s="52"/>
    </row>
    <row r="36" ht="33.75" customHeight="1">
      <c r="A36" s="2" t="s">
        <v>197</v>
      </c>
      <c r="B36" s="12">
        <v>93568.0</v>
      </c>
      <c r="C36" s="12">
        <v>100702.0</v>
      </c>
      <c r="D36" s="24">
        <f>IF(COUNT('A2 Q4 Drivers'!D25)&lt;1,"",C36+'A2 Q4 Drivers'!D25)</f>
        <v>101897</v>
      </c>
      <c r="E36" s="26" t="s">
        <v>204</v>
      </c>
    </row>
    <row r="37" ht="33.75" customHeight="1">
      <c r="A37" s="2" t="s">
        <v>205</v>
      </c>
      <c r="B37" s="12">
        <v>-14264.0</v>
      </c>
      <c r="C37" s="12">
        <v>11326.0</v>
      </c>
      <c r="D37" s="24">
        <f>IF(COUNT('A2 Q4 Drivers'!D10,'A2 Q4 Drivers'!D22,'A2 Q4 Drivers'!D23,'A2 Q4 Drivers'!D24)&lt;4,"",C37+'A2 Q4 Drivers'!D10-'A2 Q4 Drivers'!D22-'A2 Q4 Drivers'!D23+'A2 Q4 Drivers'!D24)</f>
        <v>9606.179433</v>
      </c>
      <c r="E37" s="26" t="s">
        <v>206</v>
      </c>
    </row>
    <row r="38" ht="14.25" customHeight="1">
      <c r="A38" s="2" t="s">
        <v>207</v>
      </c>
      <c r="B38" s="12">
        <v>-5571.0</v>
      </c>
      <c r="C38" s="12">
        <v>-4508.0</v>
      </c>
      <c r="D38" s="24">
        <f>C38</f>
        <v>-4508</v>
      </c>
      <c r="E38" s="33" t="s">
        <v>109</v>
      </c>
    </row>
    <row r="39" ht="14.25" customHeight="1">
      <c r="A39" s="39" t="s">
        <v>210</v>
      </c>
      <c r="B39" s="40">
        <f t="shared" ref="B39:C39" si="10">SUM(B36:B38)</f>
        <v>73733</v>
      </c>
      <c r="C39" s="40">
        <f t="shared" si="10"/>
        <v>107520</v>
      </c>
      <c r="D39" s="40">
        <f>IF(COUNT(D36:D38)&lt;3,"",SUM(D36:D38))</f>
        <v>106995.1794</v>
      </c>
      <c r="E39" s="33" t="s">
        <v>126</v>
      </c>
    </row>
    <row r="40" ht="14.25" customHeight="1">
      <c r="A40" s="39" t="s">
        <v>213</v>
      </c>
      <c r="B40" s="40">
        <f t="shared" ref="B40:C40" si="11">B34+B39</f>
        <v>359241</v>
      </c>
      <c r="C40" s="40">
        <f t="shared" si="11"/>
        <v>383266</v>
      </c>
      <c r="D40" s="40">
        <f>IF(COUNT(D34,D39)&lt;2,"",D34+D39)</f>
        <v>395361.4388</v>
      </c>
      <c r="E40" s="33" t="s">
        <v>126</v>
      </c>
    </row>
    <row r="41" ht="14.25" customHeight="1">
      <c r="A41" s="2"/>
      <c r="B41" s="24"/>
      <c r="C41" s="24"/>
      <c r="D41" s="24"/>
      <c r="E41" s="33"/>
    </row>
    <row r="42" ht="24.0" customHeight="1">
      <c r="A42" s="39" t="s">
        <v>221</v>
      </c>
      <c r="B42" s="75">
        <f t="shared" ref="B42:C42" si="12">B21-B40</f>
        <v>0</v>
      </c>
      <c r="C42" s="75">
        <f t="shared" si="12"/>
        <v>0</v>
      </c>
      <c r="D42" s="75">
        <f>IF(COUNT(D21,D40)&lt;2,"",ROUND(D21-D40,2))</f>
        <v>0</v>
      </c>
      <c r="E42" s="33"/>
    </row>
    <row r="43" ht="24.0" customHeight="1">
      <c r="A43" s="2" t="s">
        <v>245</v>
      </c>
      <c r="B43" s="24"/>
      <c r="C43" s="24"/>
      <c r="D43" s="24" t="str">
        <f>IF(COUNT('A2 Q4 Drivers'!D7,'A2 Q4 Drivers'!D8,'A2 Q4 Drivers'!D10)&lt;3,"Awaiting Q4 income forecast",IF(COUNT('A2 Q4 Drivers'!D22:D25)&lt;4,"Awaiting equity assumptions",IF(COUNT(D42)&lt;1,"Forecast incomplete",IF(D7&lt;0,"Negative cash: review assumptions",IF(ABS(D42)&gt;0.005,"Out of balance","Balanced (cash plug)")))))</f>
        <v>Balanced (cash plug)</v>
      </c>
      <c r="E43" s="33"/>
    </row>
    <row r="44" ht="14.25" customHeight="1">
      <c r="A44" s="2" t="s">
        <v>253</v>
      </c>
      <c r="B44" s="24"/>
      <c r="C44" s="24"/>
      <c r="D44" s="24">
        <f>IF(COUNT(D7,C7)&lt;2,"",D7-C7)</f>
        <v>-10315.01864</v>
      </c>
      <c r="E44" s="2"/>
    </row>
    <row r="45" ht="14.25" customHeight="1">
      <c r="A45" s="2"/>
      <c r="B45" s="24"/>
      <c r="C45" s="24"/>
      <c r="D45" s="24"/>
      <c r="E45" s="2"/>
    </row>
    <row r="46" ht="14.25" customHeight="1">
      <c r="A46" s="10" t="s">
        <v>259</v>
      </c>
      <c r="B46" s="10"/>
      <c r="C46" s="10"/>
      <c r="D46" s="10"/>
      <c r="E46" s="10"/>
    </row>
    <row r="47" ht="14.25" customHeight="1">
      <c r="A47" s="2" t="s">
        <v>7</v>
      </c>
      <c r="B47" s="16" t="s">
        <v>260</v>
      </c>
      <c r="C47" s="16"/>
      <c r="D47" s="16"/>
      <c r="E47" s="16"/>
    </row>
    <row r="48" ht="14.25" customHeight="1">
      <c r="A48" s="2" t="s">
        <v>10</v>
      </c>
      <c r="B48" s="16" t="s">
        <v>261</v>
      </c>
      <c r="C48" s="16"/>
      <c r="D48" s="16"/>
      <c r="E48" s="16"/>
    </row>
    <row r="49" ht="14.25" customHeight="1">
      <c r="A49" s="2" t="s">
        <v>262</v>
      </c>
      <c r="B49" s="16" t="s">
        <v>263</v>
      </c>
      <c r="C49" s="16"/>
      <c r="D49" s="16"/>
      <c r="E49" s="16"/>
    </row>
    <row r="50" ht="14.25" customHeight="1">
      <c r="A50" s="2" t="s">
        <v>264</v>
      </c>
      <c r="B50" s="16" t="s">
        <v>265</v>
      </c>
      <c r="C50" s="16"/>
      <c r="D50" s="16"/>
      <c r="E50" s="16"/>
    </row>
    <row r="51" ht="14.25" customHeight="1">
      <c r="A51" s="2" t="s">
        <v>266</v>
      </c>
      <c r="B51" s="2" t="s">
        <v>267</v>
      </c>
      <c r="C51" s="2"/>
      <c r="D51" s="2"/>
      <c r="E51" s="2"/>
    </row>
    <row r="52" ht="14.25" customHeight="1">
      <c r="A52" s="2"/>
      <c r="B52" s="2"/>
      <c r="C52" s="2"/>
      <c r="D52" s="2"/>
      <c r="E52" s="2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42">
    <cfRule type="cellIs" dxfId="0" priority="1" operator="not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7FA3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2.0"/>
    <col customWidth="1" min="2" max="3" width="19.0"/>
    <col customWidth="1" min="4" max="4" width="22.0"/>
    <col customWidth="1" min="5" max="5" width="82.0"/>
    <col customWidth="1" min="6" max="26" width="9.0"/>
  </cols>
  <sheetData>
    <row r="1" ht="14.25" customHeight="1">
      <c r="A1" s="2"/>
      <c r="B1" s="2"/>
      <c r="C1" s="2"/>
      <c r="D1" s="2"/>
      <c r="E1" s="2"/>
    </row>
    <row r="2" ht="30.0" customHeight="1">
      <c r="A2" s="3" t="s">
        <v>0</v>
      </c>
      <c r="B2" s="2"/>
      <c r="C2" s="2"/>
      <c r="D2" s="2"/>
      <c r="E2" s="2"/>
    </row>
    <row r="3" ht="21.0" customHeight="1">
      <c r="A3" s="5" t="s">
        <v>2</v>
      </c>
      <c r="B3" s="2"/>
      <c r="C3" s="2"/>
      <c r="D3" s="2"/>
      <c r="E3" s="2"/>
    </row>
    <row r="4" ht="14.25" customHeight="1">
      <c r="A4" s="2"/>
      <c r="B4" s="2"/>
      <c r="C4" s="2"/>
      <c r="D4" s="2"/>
      <c r="E4" s="2"/>
    </row>
    <row r="5" ht="27.75" customHeight="1">
      <c r="A5" s="7" t="s">
        <v>6</v>
      </c>
      <c r="B5" s="8" t="s">
        <v>7</v>
      </c>
      <c r="C5" s="8" t="s">
        <v>10</v>
      </c>
      <c r="D5" s="8" t="s">
        <v>19</v>
      </c>
      <c r="E5" s="7" t="s">
        <v>20</v>
      </c>
    </row>
    <row r="6" ht="21.75" customHeight="1">
      <c r="A6" s="10" t="s">
        <v>22</v>
      </c>
      <c r="B6" s="11"/>
      <c r="C6" s="11"/>
      <c r="D6" s="11"/>
      <c r="E6" s="10"/>
    </row>
    <row r="7" ht="14.25" customHeight="1">
      <c r="A7" s="2" t="s">
        <v>25</v>
      </c>
      <c r="B7" s="12">
        <v>102466.0</v>
      </c>
      <c r="C7" s="12">
        <v>109417.0</v>
      </c>
      <c r="D7" s="15">
        <f>'A1 Income Statement'!F8</f>
        <v>113164.02</v>
      </c>
      <c r="E7" s="16" t="s">
        <v>33</v>
      </c>
    </row>
    <row r="8" ht="14.25" customHeight="1">
      <c r="A8" s="2" t="s">
        <v>34</v>
      </c>
      <c r="B8" s="12">
        <v>54125.0</v>
      </c>
      <c r="C8" s="12">
        <v>54647.0</v>
      </c>
      <c r="D8" s="15">
        <f>'A1 Income Statement'!F11</f>
        <v>59411.1105</v>
      </c>
      <c r="E8" s="16" t="s">
        <v>33</v>
      </c>
    </row>
    <row r="9" ht="14.25" customHeight="1">
      <c r="A9" s="2" t="s">
        <v>39</v>
      </c>
      <c r="B9" s="12">
        <v>32427.0</v>
      </c>
      <c r="C9" s="12">
        <v>35695.0</v>
      </c>
      <c r="D9" s="15">
        <f>'A1 Income Statement'!F21</f>
        <v>34502.9095</v>
      </c>
      <c r="E9" s="16" t="s">
        <v>33</v>
      </c>
    </row>
    <row r="10" ht="14.25" customHeight="1">
      <c r="A10" s="2" t="s">
        <v>41</v>
      </c>
      <c r="B10" s="12">
        <v>27466.0</v>
      </c>
      <c r="C10" s="12">
        <v>29789.0</v>
      </c>
      <c r="D10" s="15">
        <f>'A1 Income Statement'!F29</f>
        <v>29102.17943</v>
      </c>
      <c r="E10" s="16" t="s">
        <v>33</v>
      </c>
    </row>
    <row r="11" ht="14.25" customHeight="1">
      <c r="A11" s="2" t="s">
        <v>44</v>
      </c>
      <c r="B11" s="20">
        <v>1.85</v>
      </c>
      <c r="C11" s="20">
        <v>2.02</v>
      </c>
      <c r="D11" s="22">
        <f>'A1 Income Statement'!F31</f>
        <v>1.98649689</v>
      </c>
      <c r="E11" s="16" t="s">
        <v>33</v>
      </c>
    </row>
    <row r="12" ht="14.25" customHeight="1">
      <c r="A12" s="2" t="s">
        <v>50</v>
      </c>
      <c r="B12" s="23">
        <v>14863.609</v>
      </c>
      <c r="C12" s="23">
        <v>14714.676</v>
      </c>
      <c r="D12" s="25">
        <f>'A1 Income Statement'!F30</f>
        <v>14650</v>
      </c>
      <c r="E12" s="16" t="s">
        <v>33</v>
      </c>
    </row>
    <row r="13" ht="14.25" customHeight="1">
      <c r="A13" s="2"/>
      <c r="B13" s="24"/>
      <c r="C13" s="24"/>
      <c r="D13" s="24"/>
      <c r="E13" s="16"/>
    </row>
    <row r="14" ht="21.75" customHeight="1">
      <c r="A14" s="10" t="s">
        <v>54</v>
      </c>
      <c r="B14" s="11"/>
      <c r="C14" s="11"/>
      <c r="D14" s="11"/>
      <c r="E14" s="28"/>
    </row>
    <row r="15" ht="14.25" customHeight="1">
      <c r="A15" s="2" t="s">
        <v>58</v>
      </c>
      <c r="B15" s="29">
        <f>B7/'B Balance Sheet'!B9</f>
        <v>2.576011263</v>
      </c>
      <c r="C15" s="29">
        <f>C7/'B Balance Sheet'!C9</f>
        <v>3.484839799</v>
      </c>
      <c r="D15" s="30">
        <f t="shared" ref="D15:D16" si="1">B15</f>
        <v>2.576011263</v>
      </c>
      <c r="E15" s="16" t="s">
        <v>71</v>
      </c>
    </row>
    <row r="16" ht="14.25" customHeight="1">
      <c r="A16" s="2" t="s">
        <v>72</v>
      </c>
      <c r="B16" s="29">
        <f>B8/'B Balance Sheet'!B10</f>
        <v>1.631253767</v>
      </c>
      <c r="C16" s="29">
        <f>C8/'B Balance Sheet'!C10</f>
        <v>1.986513505</v>
      </c>
      <c r="D16" s="30">
        <f t="shared" si="1"/>
        <v>1.631253767</v>
      </c>
      <c r="E16" s="16" t="s">
        <v>79</v>
      </c>
    </row>
    <row r="17" ht="33.75" customHeight="1">
      <c r="A17" s="2" t="s">
        <v>80</v>
      </c>
      <c r="B17" s="29">
        <f>B8/'B Balance Sheet'!B11</f>
        <v>9.465722281</v>
      </c>
      <c r="C17" s="29">
        <f>C8/'B Balance Sheet'!C11</f>
        <v>4.926703931</v>
      </c>
      <c r="D17" s="30">
        <f>C17</f>
        <v>4.926703931</v>
      </c>
      <c r="E17" s="35" t="s">
        <v>83</v>
      </c>
    </row>
    <row r="18" ht="14.25" customHeight="1">
      <c r="A18" s="2" t="s">
        <v>84</v>
      </c>
      <c r="B18" s="29">
        <f>B8/'B Balance Sheet'!B24</f>
        <v>0.7747638133</v>
      </c>
      <c r="C18" s="29">
        <f>C8/'B Balance Sheet'!C24</f>
        <v>0.8469120496</v>
      </c>
      <c r="D18" s="30">
        <f t="shared" ref="D18:D19" si="2">B18</f>
        <v>0.7747638133</v>
      </c>
      <c r="E18" s="16" t="s">
        <v>94</v>
      </c>
    </row>
    <row r="19" ht="14.25" customHeight="1">
      <c r="A19" s="2" t="s">
        <v>96</v>
      </c>
      <c r="B19" s="29">
        <f>B7/'B Balance Sheet'!B26</f>
        <v>11.31595803</v>
      </c>
      <c r="C19" s="29">
        <f>C7/'B Balance Sheet'!C26</f>
        <v>11.47169218</v>
      </c>
      <c r="D19" s="30">
        <f t="shared" si="2"/>
        <v>11.31595803</v>
      </c>
      <c r="E19" s="16" t="s">
        <v>100</v>
      </c>
    </row>
    <row r="20" ht="14.25" customHeight="1">
      <c r="A20" s="2"/>
      <c r="B20" s="24"/>
      <c r="C20" s="24"/>
      <c r="D20" s="24"/>
      <c r="E20" s="16"/>
    </row>
    <row r="21" ht="21.75" customHeight="1">
      <c r="A21" s="10" t="s">
        <v>101</v>
      </c>
      <c r="B21" s="11"/>
      <c r="C21" s="11"/>
      <c r="D21" s="11"/>
      <c r="E21" s="28"/>
    </row>
    <row r="22" ht="33.75" customHeight="1">
      <c r="A22" s="2" t="s">
        <v>102</v>
      </c>
      <c r="B22" s="12">
        <v>3888.0</v>
      </c>
      <c r="C22" s="12">
        <v>3998.0</v>
      </c>
      <c r="D22" s="38">
        <f t="shared" ref="D22:D25" si="3">C22</f>
        <v>3998</v>
      </c>
      <c r="E22" s="35" t="s">
        <v>106</v>
      </c>
    </row>
    <row r="23" ht="33.75" customHeight="1">
      <c r="A23" s="2" t="s">
        <v>108</v>
      </c>
      <c r="B23" s="12">
        <v>20178.0</v>
      </c>
      <c r="C23" s="12">
        <v>25949.0</v>
      </c>
      <c r="D23" s="38">
        <f t="shared" si="3"/>
        <v>25949</v>
      </c>
      <c r="E23" s="35" t="s">
        <v>110</v>
      </c>
    </row>
    <row r="24" ht="33.75" customHeight="1">
      <c r="A24" s="2" t="s">
        <v>112</v>
      </c>
      <c r="B24" s="12">
        <v>-57.0</v>
      </c>
      <c r="C24" s="12">
        <v>-875.0</v>
      </c>
      <c r="D24" s="38">
        <f t="shared" si="3"/>
        <v>-875</v>
      </c>
      <c r="E24" s="35" t="s">
        <v>114</v>
      </c>
    </row>
    <row r="25" ht="33.75" customHeight="1">
      <c r="A25" s="2" t="s">
        <v>115</v>
      </c>
      <c r="B25" s="12">
        <v>3762.0</v>
      </c>
      <c r="C25" s="12">
        <v>1195.0</v>
      </c>
      <c r="D25" s="38">
        <f t="shared" si="3"/>
        <v>1195</v>
      </c>
      <c r="E25" s="35" t="s">
        <v>116</v>
      </c>
    </row>
    <row r="26" ht="14.25" customHeight="1">
      <c r="A26" s="2"/>
      <c r="B26" s="24"/>
      <c r="C26" s="24"/>
      <c r="D26" s="24"/>
      <c r="E26" s="16"/>
    </row>
    <row r="27" ht="22.5" customHeight="1">
      <c r="A27" s="10" t="s">
        <v>117</v>
      </c>
      <c r="B27" s="11"/>
      <c r="C27" s="11"/>
      <c r="D27" s="11"/>
      <c r="E27" s="28"/>
    </row>
    <row r="28" ht="22.5" customHeight="1">
      <c r="A28" s="2" t="s">
        <v>118</v>
      </c>
      <c r="B28" s="24"/>
      <c r="C28" s="24"/>
      <c r="D28" s="41">
        <f>IF(COUNT(D11)&lt;1,"",D11)</f>
        <v>1.98649689</v>
      </c>
      <c r="E28" s="16" t="s">
        <v>120</v>
      </c>
    </row>
    <row r="29" ht="33.75" customHeight="1">
      <c r="A29" s="2" t="s">
        <v>121</v>
      </c>
      <c r="B29" s="24"/>
      <c r="C29" s="24"/>
      <c r="D29" s="42">
        <v>2.03</v>
      </c>
      <c r="E29" s="44" t="s">
        <v>122</v>
      </c>
    </row>
    <row r="30" ht="33.75" customHeight="1">
      <c r="A30" s="2" t="s">
        <v>123</v>
      </c>
      <c r="B30" s="24"/>
      <c r="C30" s="24"/>
      <c r="D30" s="42">
        <v>2.05</v>
      </c>
      <c r="E30" s="44" t="s">
        <v>124</v>
      </c>
    </row>
    <row r="31" ht="22.5" customHeight="1">
      <c r="A31" s="2" t="s">
        <v>125</v>
      </c>
      <c r="B31" s="24"/>
      <c r="C31" s="24"/>
      <c r="D31" s="49">
        <f>D28-D29</f>
        <v>-0.04350311041</v>
      </c>
      <c r="E31" s="50"/>
    </row>
    <row r="32" ht="22.5" customHeight="1">
      <c r="A32" s="2" t="s">
        <v>128</v>
      </c>
      <c r="B32" s="24"/>
      <c r="C32" s="24"/>
      <c r="D32" s="49">
        <f>D28-D30</f>
        <v>-0.06350311041</v>
      </c>
      <c r="E32" s="50"/>
    </row>
    <row r="33" ht="33.75" customHeight="1">
      <c r="A33" s="2" t="s">
        <v>131</v>
      </c>
      <c r="B33" s="24"/>
      <c r="C33" s="24"/>
      <c r="D33" s="54">
        <v>1.98</v>
      </c>
      <c r="E33" s="35" t="s">
        <v>133</v>
      </c>
    </row>
    <row r="34" ht="21.75" customHeight="1">
      <c r="A34" s="10" t="s">
        <v>134</v>
      </c>
      <c r="B34" s="11"/>
      <c r="C34" s="11"/>
      <c r="D34" s="11"/>
      <c r="E34" s="28"/>
    </row>
    <row r="35" ht="14.25" customHeight="1">
      <c r="A35" s="2" t="s">
        <v>136</v>
      </c>
      <c r="B35" s="55" t="s">
        <v>138</v>
      </c>
      <c r="C35" s="55"/>
      <c r="D35" s="55"/>
      <c r="E35" s="16"/>
    </row>
    <row r="36" ht="14.25" customHeight="1">
      <c r="A36" s="2" t="s">
        <v>141</v>
      </c>
      <c r="B36" s="55" t="s">
        <v>142</v>
      </c>
      <c r="C36" s="55"/>
      <c r="D36" s="55"/>
      <c r="E36" s="16"/>
    </row>
    <row r="37" ht="14.25" customHeight="1">
      <c r="A37" s="2" t="s">
        <v>143</v>
      </c>
      <c r="B37" s="55" t="s">
        <v>144</v>
      </c>
      <c r="C37" s="55"/>
      <c r="D37" s="55"/>
      <c r="E37" s="16"/>
    </row>
    <row r="38" ht="14.25" customHeight="1">
      <c r="A38" s="2" t="s">
        <v>10</v>
      </c>
      <c r="B38" s="55" t="s">
        <v>146</v>
      </c>
      <c r="C38" s="55"/>
      <c r="D38" s="55"/>
      <c r="E38" s="16"/>
    </row>
    <row r="39" ht="14.25" customHeight="1">
      <c r="A39" s="2" t="s">
        <v>147</v>
      </c>
      <c r="B39" s="55">
        <f>416161-313695</f>
        <v>102466</v>
      </c>
      <c r="C39" s="55"/>
      <c r="D39" s="55"/>
      <c r="E39" s="16" t="s">
        <v>148</v>
      </c>
    </row>
    <row r="40" ht="14.25" customHeight="1">
      <c r="A40" s="2" t="s">
        <v>149</v>
      </c>
      <c r="B40" s="55">
        <f>220960-166835</f>
        <v>54125</v>
      </c>
      <c r="C40" s="55"/>
      <c r="D40" s="55"/>
      <c r="E40" s="16" t="s">
        <v>150</v>
      </c>
    </row>
    <row r="41" ht="14.25" customHeight="1">
      <c r="A41" s="2" t="s">
        <v>151</v>
      </c>
      <c r="B41" s="55" t="s">
        <v>152</v>
      </c>
      <c r="C41" s="55"/>
      <c r="D41" s="55"/>
      <c r="E41" s="16"/>
    </row>
    <row r="42" ht="14.25" customHeight="1">
      <c r="A42" s="2"/>
      <c r="B42" s="24"/>
      <c r="C42" s="24"/>
      <c r="D42" s="24"/>
      <c r="E42" s="2"/>
    </row>
    <row r="43" ht="21.75" customHeight="1">
      <c r="A43" s="10" t="s">
        <v>153</v>
      </c>
      <c r="B43" s="11"/>
      <c r="C43" s="11"/>
      <c r="D43" s="11"/>
      <c r="E43" s="10"/>
    </row>
    <row r="44" ht="33.75" customHeight="1">
      <c r="A44" s="2" t="s">
        <v>154</v>
      </c>
      <c r="B44" s="24"/>
      <c r="C44" s="24"/>
      <c r="D44" s="24"/>
      <c r="E44" s="35" t="s">
        <v>155</v>
      </c>
    </row>
    <row r="45" ht="33.75" customHeight="1">
      <c r="A45" s="2" t="s">
        <v>156</v>
      </c>
      <c r="B45" s="24"/>
      <c r="C45" s="24"/>
      <c r="D45" s="24"/>
      <c r="E45" s="35" t="s">
        <v>158</v>
      </c>
    </row>
    <row r="46" ht="33.75" customHeight="1">
      <c r="A46" s="2" t="s">
        <v>159</v>
      </c>
      <c r="B46" s="2"/>
      <c r="C46" s="2"/>
      <c r="D46" s="2"/>
      <c r="E46" s="35" t="s">
        <v>160</v>
      </c>
    </row>
    <row r="47" ht="33.75" customHeight="1">
      <c r="A47" s="2" t="s">
        <v>161</v>
      </c>
      <c r="B47" s="2"/>
      <c r="C47" s="2"/>
      <c r="D47" s="2"/>
      <c r="E47" s="35" t="s">
        <v>162</v>
      </c>
    </row>
    <row r="48" ht="33.75" customHeight="1">
      <c r="A48" s="2" t="s">
        <v>163</v>
      </c>
      <c r="B48" s="2"/>
      <c r="C48" s="2"/>
      <c r="D48" s="2"/>
      <c r="E48" s="35" t="s">
        <v>164</v>
      </c>
    </row>
    <row r="49" ht="33.75" customHeight="1">
      <c r="A49" s="2" t="s">
        <v>165</v>
      </c>
      <c r="B49" s="2"/>
      <c r="C49" s="2"/>
      <c r="D49" s="2"/>
      <c r="E49" s="35" t="s">
        <v>166</v>
      </c>
    </row>
    <row r="50" ht="14.25" customHeight="1">
      <c r="A50" s="2"/>
      <c r="B50" s="2"/>
      <c r="C50" s="2"/>
      <c r="D50" s="2"/>
      <c r="E50" s="2"/>
    </row>
    <row r="51" ht="14.25" customHeight="1">
      <c r="A51" s="2"/>
      <c r="B51" s="2"/>
      <c r="C51" s="2"/>
      <c r="D51" s="2"/>
      <c r="E51" s="2"/>
    </row>
    <row r="52" ht="14.25" customHeight="1">
      <c r="A52" s="2"/>
      <c r="B52" s="2"/>
      <c r="C52" s="2"/>
      <c r="D52" s="2"/>
      <c r="E52" s="2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3.0"/>
    <col customWidth="1" min="2" max="3" width="17.0"/>
    <col customWidth="1" min="4" max="5" width="19.0"/>
    <col customWidth="1" min="6" max="6" width="20.0"/>
    <col customWidth="1" min="7" max="7" width="55.0"/>
    <col customWidth="1" min="8" max="8" width="44.0"/>
    <col customWidth="1" min="9" max="26" width="8.71"/>
  </cols>
  <sheetData>
    <row r="1" ht="14.25" customHeight="1">
      <c r="A1" s="56" t="s">
        <v>178</v>
      </c>
    </row>
    <row r="2" ht="31.5" customHeight="1">
      <c r="A2" s="57" t="s">
        <v>179</v>
      </c>
    </row>
    <row r="3" ht="14.25" customHeight="1"/>
    <row r="4" ht="14.25" customHeight="1">
      <c r="A4" s="58" t="s">
        <v>181</v>
      </c>
      <c r="B4" s="59"/>
      <c r="C4" s="59"/>
      <c r="D4" s="59"/>
      <c r="E4" s="59"/>
      <c r="F4" s="59"/>
      <c r="G4" s="59"/>
      <c r="H4" s="59"/>
    </row>
    <row r="5" ht="33.75" customHeight="1">
      <c r="A5" s="60" t="s">
        <v>185</v>
      </c>
      <c r="B5" s="61" t="s">
        <v>7</v>
      </c>
      <c r="C5" s="61" t="s">
        <v>186</v>
      </c>
      <c r="D5" s="61" t="s">
        <v>11</v>
      </c>
      <c r="E5" s="61" t="s">
        <v>187</v>
      </c>
      <c r="F5" s="61" t="s">
        <v>188</v>
      </c>
      <c r="G5" s="61" t="s">
        <v>189</v>
      </c>
      <c r="H5" s="61" t="s">
        <v>190</v>
      </c>
    </row>
    <row r="6" ht="33.75" customHeight="1">
      <c r="A6" s="62" t="s">
        <v>191</v>
      </c>
      <c r="B6" s="63">
        <v>49025.0</v>
      </c>
      <c r="C6" s="64">
        <v>0.14</v>
      </c>
      <c r="D6" s="63">
        <f t="shared" ref="D6:D9" si="1">B6*(1+C6)</f>
        <v>55888.5</v>
      </c>
      <c r="E6" s="63">
        <v>196515.0</v>
      </c>
      <c r="F6" s="63">
        <f t="shared" ref="F6:F9" si="2">D6+E6</f>
        <v>252403.5</v>
      </c>
      <c r="G6" s="65" t="s">
        <v>193</v>
      </c>
      <c r="H6" s="65" t="s">
        <v>194</v>
      </c>
    </row>
    <row r="7" ht="33.75" customHeight="1">
      <c r="A7" s="62" t="s">
        <v>195</v>
      </c>
      <c r="B7" s="63">
        <v>8726.0</v>
      </c>
      <c r="C7" s="64">
        <v>0.06</v>
      </c>
      <c r="D7" s="63">
        <f t="shared" si="1"/>
        <v>9249.56</v>
      </c>
      <c r="E7" s="63">
        <v>27137.0</v>
      </c>
      <c r="F7" s="63">
        <f t="shared" si="2"/>
        <v>36386.56</v>
      </c>
      <c r="G7" s="65" t="s">
        <v>198</v>
      </c>
      <c r="H7" s="65" t="s">
        <v>194</v>
      </c>
    </row>
    <row r="8" ht="33.75" customHeight="1">
      <c r="A8" s="62" t="s">
        <v>199</v>
      </c>
      <c r="B8" s="63">
        <v>6952.0</v>
      </c>
      <c r="C8" s="64">
        <v>-0.02</v>
      </c>
      <c r="D8" s="63">
        <f t="shared" si="1"/>
        <v>6812.96</v>
      </c>
      <c r="E8" s="63">
        <v>21700.0</v>
      </c>
      <c r="F8" s="63">
        <f t="shared" si="2"/>
        <v>28512.96</v>
      </c>
      <c r="G8" s="65" t="s">
        <v>200</v>
      </c>
      <c r="H8" s="65" t="s">
        <v>194</v>
      </c>
    </row>
    <row r="9" ht="33.75" customHeight="1">
      <c r="A9" s="62" t="s">
        <v>201</v>
      </c>
      <c r="B9" s="63">
        <v>9013.0</v>
      </c>
      <c r="C9" s="64">
        <v>0.0</v>
      </c>
      <c r="D9" s="63">
        <f t="shared" si="1"/>
        <v>9013</v>
      </c>
      <c r="E9" s="63">
        <v>27277.0</v>
      </c>
      <c r="F9" s="63">
        <f t="shared" si="2"/>
        <v>36290</v>
      </c>
      <c r="G9" s="65" t="s">
        <v>202</v>
      </c>
      <c r="H9" s="65" t="s">
        <v>194</v>
      </c>
    </row>
    <row r="10" ht="24.0" customHeight="1">
      <c r="A10" s="66" t="s">
        <v>203</v>
      </c>
      <c r="B10" s="67">
        <f>SUM(B6:B9)</f>
        <v>73716</v>
      </c>
      <c r="C10" s="68">
        <f>D10/B10-1</f>
        <v>0.09832356612</v>
      </c>
      <c r="D10" s="67">
        <f t="shared" ref="D10:F10" si="3">SUM(D6:D9)</f>
        <v>80964.02</v>
      </c>
      <c r="E10" s="67">
        <f t="shared" si="3"/>
        <v>272629</v>
      </c>
      <c r="F10" s="67">
        <f t="shared" si="3"/>
        <v>353593.02</v>
      </c>
      <c r="G10" s="70" t="s">
        <v>208</v>
      </c>
      <c r="H10" s="70" t="s">
        <v>209</v>
      </c>
    </row>
    <row r="11" ht="33.75" customHeight="1">
      <c r="A11" s="62" t="s">
        <v>38</v>
      </c>
      <c r="B11" s="63">
        <v>28750.0</v>
      </c>
      <c r="C11" s="64">
        <v>0.12</v>
      </c>
      <c r="D11" s="63">
        <f>B11*(1+C11)</f>
        <v>32200</v>
      </c>
      <c r="E11" s="63">
        <v>91728.0</v>
      </c>
      <c r="F11" s="63">
        <f>D11+E11</f>
        <v>123928</v>
      </c>
      <c r="G11" s="65" t="s">
        <v>212</v>
      </c>
      <c r="H11" s="65" t="s">
        <v>215</v>
      </c>
    </row>
    <row r="12" ht="24.0" customHeight="1">
      <c r="A12" s="66" t="s">
        <v>25</v>
      </c>
      <c r="B12" s="67">
        <f>B10+B11</f>
        <v>102466</v>
      </c>
      <c r="C12" s="68">
        <f>D12/B12-1</f>
        <v>0.1044055589</v>
      </c>
      <c r="D12" s="67">
        <f t="shared" ref="D12:F12" si="4">D10+D11</f>
        <v>113164.02</v>
      </c>
      <c r="E12" s="67">
        <f t="shared" si="4"/>
        <v>364357</v>
      </c>
      <c r="F12" s="67">
        <f t="shared" si="4"/>
        <v>477521.02</v>
      </c>
      <c r="G12" s="70" t="s">
        <v>240</v>
      </c>
      <c r="H12" s="70" t="s">
        <v>209</v>
      </c>
    </row>
    <row r="13" ht="24.0" customHeight="1">
      <c r="A13" s="62" t="s">
        <v>241</v>
      </c>
      <c r="B13" s="83" t="s">
        <v>242</v>
      </c>
      <c r="C13" s="84">
        <f>C12</f>
        <v>0.1044055589</v>
      </c>
      <c r="D13" s="85" t="str">
        <f>IF(AND(C13&gt;=9%,C13&lt;=11%),"Within guidance",IF(C13&lt;9%,"Below guidance","Above guidance"))</f>
        <v>Within guidance</v>
      </c>
      <c r="E13" s="63"/>
      <c r="F13" s="63"/>
      <c r="G13" s="65" t="s">
        <v>249</v>
      </c>
      <c r="H13" s="65" t="s">
        <v>31</v>
      </c>
    </row>
    <row r="14" ht="14.25" customHeight="1"/>
    <row r="15" ht="14.25" customHeight="1"/>
    <row r="16" ht="14.25" customHeight="1">
      <c r="A16" s="58" t="s">
        <v>250</v>
      </c>
      <c r="B16" s="59"/>
      <c r="C16" s="59"/>
      <c r="D16" s="59"/>
      <c r="E16" s="59"/>
      <c r="F16" s="59"/>
      <c r="G16" s="59"/>
      <c r="H16" s="59"/>
    </row>
    <row r="17" ht="14.25" customHeight="1">
      <c r="A17" s="60" t="s">
        <v>185</v>
      </c>
      <c r="B17" s="61" t="s">
        <v>251</v>
      </c>
      <c r="C17" s="61" t="s">
        <v>252</v>
      </c>
      <c r="D17" s="61" t="s">
        <v>254</v>
      </c>
      <c r="E17" s="61" t="s">
        <v>255</v>
      </c>
      <c r="F17" s="61" t="s">
        <v>256</v>
      </c>
      <c r="G17" s="61" t="s">
        <v>257</v>
      </c>
      <c r="H17" s="61" t="s">
        <v>258</v>
      </c>
    </row>
    <row r="18" ht="14.25" customHeight="1">
      <c r="A18" s="62" t="s">
        <v>191</v>
      </c>
      <c r="B18" s="63">
        <f t="shared" ref="B18:B21" si="5">F6</f>
        <v>252403.5</v>
      </c>
      <c r="C18" s="63">
        <f>B18*(1+$B$29)</f>
        <v>272595.78</v>
      </c>
      <c r="D18" s="63">
        <f>C18*(1+$C$29)</f>
        <v>290314.5057</v>
      </c>
      <c r="E18" s="63">
        <f>D18*(1+$D$29)</f>
        <v>306281.8035</v>
      </c>
      <c r="F18" s="63">
        <f>E18*(1+$E$29)</f>
        <v>321595.8937</v>
      </c>
      <c r="G18" s="63">
        <f>F18*(1+$F$29)</f>
        <v>336067.7089</v>
      </c>
      <c r="H18" s="63">
        <f>G18*(1+$G$29)</f>
        <v>349510.4173</v>
      </c>
    </row>
    <row r="19" ht="14.25" customHeight="1">
      <c r="A19" s="62" t="s">
        <v>195</v>
      </c>
      <c r="B19" s="63">
        <f t="shared" si="5"/>
        <v>36386.56</v>
      </c>
      <c r="C19" s="63">
        <f>B19*(1+$B$30)</f>
        <v>38569.7536</v>
      </c>
      <c r="D19" s="63">
        <f>C19*(1+$C$30)</f>
        <v>40498.24128</v>
      </c>
      <c r="E19" s="63">
        <f>D19*(1+$D$30)</f>
        <v>42320.66214</v>
      </c>
      <c r="F19" s="63">
        <f>E19*(1+$E$30)</f>
        <v>44013.48862</v>
      </c>
      <c r="G19" s="63">
        <f>F19*(1+$F$30)</f>
        <v>45553.96072</v>
      </c>
      <c r="H19" s="63">
        <f>G19*(1+$G$30)</f>
        <v>46920.57955</v>
      </c>
    </row>
    <row r="20" ht="14.25" customHeight="1">
      <c r="A20" s="62" t="s">
        <v>199</v>
      </c>
      <c r="B20" s="63">
        <f t="shared" si="5"/>
        <v>28512.96</v>
      </c>
      <c r="C20" s="63">
        <f>B20*(1+$B$31)</f>
        <v>29368.3488</v>
      </c>
      <c r="D20" s="63">
        <f>C20*(1+$C$31)</f>
        <v>30249.39926</v>
      </c>
      <c r="E20" s="63">
        <f>D20*(1+$D$31)</f>
        <v>31156.88124</v>
      </c>
      <c r="F20" s="63">
        <f>E20*(1+$E$31)</f>
        <v>31935.80327</v>
      </c>
      <c r="G20" s="63">
        <f>F20*(1+$F$31)</f>
        <v>32734.19835</v>
      </c>
      <c r="H20" s="63">
        <f>G20*(1+$G$31)</f>
        <v>33388.88232</v>
      </c>
    </row>
    <row r="21" ht="14.25" customHeight="1">
      <c r="A21" s="62" t="s">
        <v>201</v>
      </c>
      <c r="B21" s="63">
        <f t="shared" si="5"/>
        <v>36290</v>
      </c>
      <c r="C21" s="63">
        <f>B21*(1+$B$32)</f>
        <v>38104.5</v>
      </c>
      <c r="D21" s="63">
        <f>C21*(1+$C$32)</f>
        <v>39819.2025</v>
      </c>
      <c r="E21" s="63">
        <f>D21*(1+$D$32)</f>
        <v>41411.9706</v>
      </c>
      <c r="F21" s="63">
        <f>E21*(1+$E$32)</f>
        <v>42861.38957</v>
      </c>
      <c r="G21" s="63">
        <f>F21*(1+$F$32)</f>
        <v>44361.53821</v>
      </c>
      <c r="H21" s="63">
        <f>G21*(1+$G$32)</f>
        <v>45692.38435</v>
      </c>
    </row>
    <row r="22" ht="14.25" customHeight="1">
      <c r="A22" s="62" t="s">
        <v>38</v>
      </c>
      <c r="B22" s="63">
        <f>F11</f>
        <v>123928</v>
      </c>
      <c r="C22" s="63">
        <f>B22*(1+$B$33)</f>
        <v>138799.36</v>
      </c>
      <c r="D22" s="63">
        <f>C22*(1+$C$33)</f>
        <v>154067.2896</v>
      </c>
      <c r="E22" s="63">
        <f>D22*(1+$D$33)</f>
        <v>169474.0186</v>
      </c>
      <c r="F22" s="63">
        <f>E22*(1+$E$33)</f>
        <v>184726.6802</v>
      </c>
      <c r="G22" s="63">
        <f>F22*(1+$F$33)</f>
        <v>199504.8146</v>
      </c>
      <c r="H22" s="63">
        <f>G22*(1+$G$33)</f>
        <v>213470.1517</v>
      </c>
    </row>
    <row r="23" ht="14.25" customHeight="1">
      <c r="A23" s="105" t="s">
        <v>203</v>
      </c>
      <c r="B23" s="109">
        <f t="shared" ref="B23:H23" si="6">SUM(B18:B21)</f>
        <v>353593.02</v>
      </c>
      <c r="C23" s="109">
        <f t="shared" si="6"/>
        <v>378638.3824</v>
      </c>
      <c r="D23" s="109">
        <f t="shared" si="6"/>
        <v>400881.3487</v>
      </c>
      <c r="E23" s="109">
        <f t="shared" si="6"/>
        <v>421171.3175</v>
      </c>
      <c r="F23" s="109">
        <f t="shared" si="6"/>
        <v>440406.5752</v>
      </c>
      <c r="G23" s="109">
        <f t="shared" si="6"/>
        <v>458717.4062</v>
      </c>
      <c r="H23" s="109">
        <f t="shared" si="6"/>
        <v>475512.2635</v>
      </c>
    </row>
    <row r="24" ht="14.25" customHeight="1">
      <c r="A24" s="105" t="s">
        <v>25</v>
      </c>
      <c r="B24" s="109">
        <f t="shared" ref="B24:H24" si="7">B23+B22</f>
        <v>477521.02</v>
      </c>
      <c r="C24" s="109">
        <f t="shared" si="7"/>
        <v>517437.7424</v>
      </c>
      <c r="D24" s="109">
        <f t="shared" si="7"/>
        <v>554948.6383</v>
      </c>
      <c r="E24" s="109">
        <f t="shared" si="7"/>
        <v>590645.3361</v>
      </c>
      <c r="F24" s="109">
        <f t="shared" si="7"/>
        <v>625133.2554</v>
      </c>
      <c r="G24" s="109">
        <f t="shared" si="7"/>
        <v>658222.2208</v>
      </c>
      <c r="H24" s="109">
        <f t="shared" si="7"/>
        <v>688982.4152</v>
      </c>
    </row>
    <row r="25" ht="14.25" customHeight="1">
      <c r="A25" s="113" t="s">
        <v>21</v>
      </c>
      <c r="B25" s="114">
        <f>B24/416161-1</f>
        <v>0.1474429848</v>
      </c>
      <c r="C25" s="114">
        <f t="shared" ref="C25:H25" si="8">C24/B24-1</f>
        <v>0.08359155038</v>
      </c>
      <c r="D25" s="114">
        <f t="shared" si="8"/>
        <v>0.07249354438</v>
      </c>
      <c r="E25" s="114">
        <f t="shared" si="8"/>
        <v>0.06432432705</v>
      </c>
      <c r="F25" s="114">
        <f t="shared" si="8"/>
        <v>0.05839023392</v>
      </c>
      <c r="G25" s="114">
        <f t="shared" si="8"/>
        <v>0.05293105937</v>
      </c>
      <c r="H25" s="114">
        <f t="shared" si="8"/>
        <v>0.04673223319</v>
      </c>
    </row>
    <row r="26" ht="14.25" customHeight="1"/>
    <row r="27" ht="14.25" customHeight="1">
      <c r="A27" s="58" t="s">
        <v>308</v>
      </c>
      <c r="B27" s="59"/>
      <c r="C27" s="59"/>
      <c r="D27" s="59"/>
      <c r="E27" s="59"/>
      <c r="F27" s="59"/>
      <c r="G27" s="59"/>
      <c r="H27" s="59"/>
    </row>
    <row r="28" ht="14.25" customHeight="1">
      <c r="A28" s="60" t="s">
        <v>185</v>
      </c>
      <c r="B28" s="61" t="s">
        <v>252</v>
      </c>
      <c r="C28" s="61" t="s">
        <v>254</v>
      </c>
      <c r="D28" s="61" t="s">
        <v>255</v>
      </c>
      <c r="E28" s="61" t="s">
        <v>256</v>
      </c>
      <c r="F28" s="61" t="s">
        <v>257</v>
      </c>
      <c r="G28" s="61" t="s">
        <v>258</v>
      </c>
      <c r="H28" s="61" t="s">
        <v>15</v>
      </c>
    </row>
    <row r="29" ht="33.75" customHeight="1">
      <c r="A29" s="62" t="s">
        <v>191</v>
      </c>
      <c r="B29" s="64">
        <v>0.08</v>
      </c>
      <c r="C29" s="64">
        <v>0.065</v>
      </c>
      <c r="D29" s="64">
        <v>0.055</v>
      </c>
      <c r="E29" s="64">
        <v>0.05</v>
      </c>
      <c r="F29" s="64">
        <v>0.045</v>
      </c>
      <c r="G29" s="64">
        <v>0.04</v>
      </c>
      <c r="H29" s="65" t="s">
        <v>309</v>
      </c>
    </row>
    <row r="30" ht="33.75" customHeight="1">
      <c r="A30" s="62" t="s">
        <v>195</v>
      </c>
      <c r="B30" s="64">
        <v>0.06</v>
      </c>
      <c r="C30" s="64">
        <v>0.05</v>
      </c>
      <c r="D30" s="64">
        <v>0.045</v>
      </c>
      <c r="E30" s="64">
        <v>0.04</v>
      </c>
      <c r="F30" s="64">
        <v>0.035</v>
      </c>
      <c r="G30" s="64">
        <v>0.03</v>
      </c>
      <c r="H30" s="65" t="s">
        <v>310</v>
      </c>
    </row>
    <row r="31" ht="33.75" customHeight="1">
      <c r="A31" s="62" t="s">
        <v>199</v>
      </c>
      <c r="B31" s="64">
        <v>0.03</v>
      </c>
      <c r="C31" s="64">
        <v>0.03</v>
      </c>
      <c r="D31" s="64">
        <v>0.03</v>
      </c>
      <c r="E31" s="64">
        <v>0.025</v>
      </c>
      <c r="F31" s="64">
        <v>0.025</v>
      </c>
      <c r="G31" s="64">
        <v>0.02</v>
      </c>
      <c r="H31" s="65" t="s">
        <v>311</v>
      </c>
    </row>
    <row r="32" ht="33.75" customHeight="1">
      <c r="A32" s="62" t="s">
        <v>201</v>
      </c>
      <c r="B32" s="64">
        <v>0.05</v>
      </c>
      <c r="C32" s="64">
        <v>0.045</v>
      </c>
      <c r="D32" s="64">
        <v>0.04</v>
      </c>
      <c r="E32" s="64">
        <v>0.035</v>
      </c>
      <c r="F32" s="64">
        <v>0.035</v>
      </c>
      <c r="G32" s="64">
        <v>0.03</v>
      </c>
      <c r="H32" s="65" t="s">
        <v>312</v>
      </c>
    </row>
    <row r="33" ht="33.75" customHeight="1">
      <c r="A33" s="62" t="s">
        <v>38</v>
      </c>
      <c r="B33" s="64">
        <v>0.12</v>
      </c>
      <c r="C33" s="64">
        <v>0.11</v>
      </c>
      <c r="D33" s="64">
        <v>0.1</v>
      </c>
      <c r="E33" s="64">
        <v>0.09</v>
      </c>
      <c r="F33" s="64">
        <v>0.08</v>
      </c>
      <c r="G33" s="64">
        <v>0.07</v>
      </c>
      <c r="H33" s="65" t="s">
        <v>313</v>
      </c>
    </row>
    <row r="34" ht="14.25" customHeight="1"/>
    <row r="35" ht="14.25" customHeight="1"/>
    <row r="36" ht="14.25" customHeight="1">
      <c r="A36" s="58" t="s">
        <v>314</v>
      </c>
      <c r="B36" s="59"/>
      <c r="C36" s="59"/>
      <c r="D36" s="59"/>
      <c r="E36" s="59"/>
      <c r="F36" s="59"/>
      <c r="G36" s="59"/>
      <c r="H36" s="59"/>
    </row>
    <row r="37" ht="14.25" customHeight="1">
      <c r="A37" s="62" t="s">
        <v>315</v>
      </c>
      <c r="B37" s="116" t="s">
        <v>316</v>
      </c>
    </row>
    <row r="38" ht="14.25" customHeight="1">
      <c r="A38" s="62" t="s">
        <v>318</v>
      </c>
      <c r="B38" s="116" t="s">
        <v>319</v>
      </c>
    </row>
    <row r="39" ht="14.25" customHeight="1">
      <c r="A39" s="62" t="s">
        <v>320</v>
      </c>
      <c r="B39" s="116" t="s">
        <v>321</v>
      </c>
    </row>
    <row r="40" ht="14.25" customHeight="1">
      <c r="A40" s="62" t="s">
        <v>323</v>
      </c>
      <c r="B40" s="116" t="s">
        <v>89</v>
      </c>
    </row>
    <row r="41" ht="14.25" customHeight="1">
      <c r="A41" s="62" t="s">
        <v>288</v>
      </c>
      <c r="B41" s="116" t="s">
        <v>95</v>
      </c>
    </row>
    <row r="42" ht="14.25" customHeight="1"/>
    <row r="43" ht="14.25" customHeight="1">
      <c r="A43" s="62" t="s">
        <v>325</v>
      </c>
      <c r="B43" s="118">
        <f>'C1 Revenue Build'!B24-'C2 Annual IS Forecast'!G9</f>
        <v>0</v>
      </c>
    </row>
    <row r="44" ht="14.25" customHeight="1">
      <c r="A44" s="62" t="s">
        <v>327</v>
      </c>
      <c r="B44" s="118">
        <f>'C1 Revenue Build'!B23-'C2 Annual IS Forecast'!G7</f>
        <v>0</v>
      </c>
    </row>
    <row r="45" ht="14.25" customHeight="1"/>
    <row r="46" ht="14.25" customHeight="1"/>
    <row r="47" ht="14.25" customHeight="1"/>
    <row r="48" ht="14.25" customHeight="1"/>
    <row r="49" ht="14.25" customHeight="1">
      <c r="C49" s="119" t="s">
        <v>185</v>
      </c>
      <c r="D49" s="120" t="s">
        <v>329</v>
      </c>
      <c r="E49" s="120" t="s">
        <v>330</v>
      </c>
      <c r="F49" s="120" t="s">
        <v>331</v>
      </c>
    </row>
    <row r="50" ht="14.25" customHeight="1">
      <c r="C50" s="121" t="s">
        <v>191</v>
      </c>
      <c r="D50" s="124">
        <f t="shared" ref="D50:D53" si="9">B6/1000</f>
        <v>49.025</v>
      </c>
      <c r="E50" s="126">
        <f t="shared" ref="E50:E53" si="10">C6</f>
        <v>0.14</v>
      </c>
      <c r="F50" s="124">
        <f t="shared" ref="F50:F53" si="11">D6/1000</f>
        <v>55.8885</v>
      </c>
    </row>
    <row r="51" ht="14.25" customHeight="1">
      <c r="C51" s="121" t="s">
        <v>195</v>
      </c>
      <c r="D51" s="124">
        <f t="shared" si="9"/>
        <v>8.726</v>
      </c>
      <c r="E51" s="126">
        <f t="shared" si="10"/>
        <v>0.06</v>
      </c>
      <c r="F51" s="124">
        <f t="shared" si="11"/>
        <v>9.24956</v>
      </c>
    </row>
    <row r="52" ht="14.25" customHeight="1">
      <c r="C52" s="121" t="s">
        <v>199</v>
      </c>
      <c r="D52" s="124">
        <f t="shared" si="9"/>
        <v>6.952</v>
      </c>
      <c r="E52" s="126">
        <f t="shared" si="10"/>
        <v>-0.02</v>
      </c>
      <c r="F52" s="124">
        <f t="shared" si="11"/>
        <v>6.81296</v>
      </c>
    </row>
    <row r="53" ht="14.25" customHeight="1">
      <c r="C53" s="121" t="s">
        <v>333</v>
      </c>
      <c r="D53" s="124">
        <f t="shared" si="9"/>
        <v>9.013</v>
      </c>
      <c r="E53" s="126">
        <f t="shared" si="10"/>
        <v>0</v>
      </c>
      <c r="F53" s="124">
        <f t="shared" si="11"/>
        <v>9.013</v>
      </c>
    </row>
    <row r="54" ht="14.25" customHeight="1">
      <c r="C54" s="121" t="s">
        <v>38</v>
      </c>
      <c r="D54" s="124">
        <f t="shared" ref="D54:D55" si="12">B11/1000</f>
        <v>28.75</v>
      </c>
      <c r="E54" s="126">
        <f t="shared" ref="E54:E55" si="13">C11</f>
        <v>0.12</v>
      </c>
      <c r="F54" s="124">
        <f t="shared" ref="F54:F55" si="14">D11/1000</f>
        <v>32.2</v>
      </c>
    </row>
    <row r="55" ht="14.25" customHeight="1">
      <c r="C55" s="119" t="s">
        <v>334</v>
      </c>
      <c r="D55" s="128">
        <f t="shared" si="12"/>
        <v>102.466</v>
      </c>
      <c r="E55" s="129">
        <f t="shared" si="13"/>
        <v>0.1044055589</v>
      </c>
      <c r="F55" s="128">
        <f t="shared" si="14"/>
        <v>113.16402</v>
      </c>
    </row>
    <row r="56" ht="14.25" customHeight="1">
      <c r="D56" s="130"/>
      <c r="E56" s="130"/>
      <c r="F56" s="130"/>
    </row>
    <row r="57" ht="14.25" customHeight="1">
      <c r="D57" s="130"/>
      <c r="E57" s="130"/>
      <c r="F57" s="130"/>
    </row>
    <row r="58" ht="14.25" customHeight="1">
      <c r="D58" s="130"/>
      <c r="E58" s="130"/>
      <c r="F58" s="130"/>
    </row>
    <row r="59" ht="14.25" customHeight="1">
      <c r="D59" s="130"/>
      <c r="E59" s="130"/>
      <c r="F59" s="130"/>
    </row>
    <row r="60" ht="14.25" customHeight="1">
      <c r="C60" s="120" t="s">
        <v>219</v>
      </c>
      <c r="D60" s="120" t="s">
        <v>337</v>
      </c>
      <c r="E60" s="120" t="s">
        <v>289</v>
      </c>
      <c r="F60" s="120" t="s">
        <v>35</v>
      </c>
    </row>
    <row r="61" ht="14.25" customHeight="1">
      <c r="C61" s="130" t="s">
        <v>338</v>
      </c>
      <c r="D61" s="131">
        <f>C25</f>
        <v>0.08359155038</v>
      </c>
      <c r="E61" s="131">
        <f>C23/B23-1</f>
        <v>0.07083104299</v>
      </c>
      <c r="F61" s="131">
        <f>C22/B22-1</f>
        <v>0.12</v>
      </c>
    </row>
    <row r="62" ht="14.25" customHeight="1">
      <c r="C62" s="130" t="s">
        <v>339</v>
      </c>
      <c r="D62" s="131">
        <f>D25</f>
        <v>0.07249354438</v>
      </c>
      <c r="E62" s="131">
        <f>D23/C23-1</f>
        <v>0.05874461591</v>
      </c>
      <c r="F62" s="131">
        <f>D22/C22-1</f>
        <v>0.11</v>
      </c>
    </row>
    <row r="63" ht="14.25" customHeight="1">
      <c r="C63" s="130" t="s">
        <v>340</v>
      </c>
      <c r="D63" s="131">
        <f>E25</f>
        <v>0.06432432705</v>
      </c>
      <c r="E63" s="131">
        <f>E23/D23-1</f>
        <v>0.05061340173</v>
      </c>
      <c r="F63" s="131">
        <f>E22/D22-1</f>
        <v>0.1</v>
      </c>
    </row>
    <row r="64" ht="14.25" customHeight="1">
      <c r="C64" s="130" t="s">
        <v>343</v>
      </c>
      <c r="D64" s="131">
        <f>F25</f>
        <v>0.05839023392</v>
      </c>
      <c r="E64" s="131">
        <f>F23/E23-1</f>
        <v>0.04567086329</v>
      </c>
      <c r="F64" s="131">
        <f>F22/E22-1</f>
        <v>0.09</v>
      </c>
    </row>
    <row r="65" ht="14.25" customHeight="1">
      <c r="C65" s="130" t="s">
        <v>344</v>
      </c>
      <c r="D65" s="131">
        <f>G25</f>
        <v>0.05293105937</v>
      </c>
      <c r="E65" s="131">
        <f>G23/F23-1</f>
        <v>0.0415771064</v>
      </c>
      <c r="F65" s="131">
        <f>G22/F22-1</f>
        <v>0.08</v>
      </c>
    </row>
    <row r="66" ht="14.25" customHeight="1">
      <c r="C66" s="130" t="s">
        <v>348</v>
      </c>
      <c r="D66" s="131">
        <f>H25</f>
        <v>0.04673223319</v>
      </c>
      <c r="E66" s="131">
        <f>H23/G23-1</f>
        <v>0.03661264444</v>
      </c>
      <c r="F66" s="131">
        <f>H22/G22-1</f>
        <v>0.07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autoFilter ref="$A$5:$H$13"/>
  <mergeCells count="11">
    <mergeCell ref="B38:H38"/>
    <mergeCell ref="B39:H39"/>
    <mergeCell ref="B40:H40"/>
    <mergeCell ref="B41:H41"/>
    <mergeCell ref="A1:H1"/>
    <mergeCell ref="A2:H2"/>
    <mergeCell ref="A4:H4"/>
    <mergeCell ref="A16:H16"/>
    <mergeCell ref="A27:H27"/>
    <mergeCell ref="A36:H36"/>
    <mergeCell ref="B37:H37"/>
  </mergeCells>
  <hyperlinks>
    <hyperlink r:id="rId1" ref="B37"/>
    <hyperlink r:id="rId2" ref="B38"/>
    <hyperlink r:id="rId3" ref="B39"/>
    <hyperlink r:id="rId4" ref="B40"/>
    <hyperlink r:id="rId5" ref="B41"/>
  </hyperlinks>
  <printOptions/>
  <pageMargins bottom="1.0" footer="0.0" header="0.0" left="0.75" right="0.75" top="1.0"/>
  <pageSetup fitToHeight="0"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4.0"/>
    <col customWidth="1" min="2" max="13" width="14.0"/>
    <col customWidth="1" min="14" max="26" width="9.0"/>
  </cols>
  <sheetData>
    <row r="1" ht="19.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ht="27.75" customHeight="1">
      <c r="A2" s="71" t="s">
        <v>211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ht="19.5" customHeight="1">
      <c r="A3" s="72" t="s">
        <v>217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ht="19.5" customHeight="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</row>
    <row r="5" ht="30.75" customHeight="1">
      <c r="A5" s="73" t="s">
        <v>218</v>
      </c>
      <c r="B5" s="74" t="s">
        <v>220</v>
      </c>
      <c r="C5" s="74" t="s">
        <v>8</v>
      </c>
      <c r="D5" s="74" t="s">
        <v>9</v>
      </c>
      <c r="E5" s="74" t="s">
        <v>10</v>
      </c>
      <c r="F5" s="74" t="s">
        <v>11</v>
      </c>
      <c r="G5" s="74" t="s">
        <v>188</v>
      </c>
      <c r="H5" s="74" t="s">
        <v>228</v>
      </c>
      <c r="I5" s="74" t="s">
        <v>230</v>
      </c>
      <c r="J5" s="74" t="s">
        <v>232</v>
      </c>
      <c r="K5" s="74" t="s">
        <v>234</v>
      </c>
      <c r="L5" s="74" t="s">
        <v>235</v>
      </c>
      <c r="M5" s="74" t="s">
        <v>236</v>
      </c>
    </row>
    <row r="6" ht="19.5" customHeight="1">
      <c r="A6" s="77" t="s">
        <v>17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80"/>
    </row>
    <row r="7" ht="19.5" customHeight="1">
      <c r="A7" s="62" t="s">
        <v>32</v>
      </c>
      <c r="B7" s="82">
        <v>307003.0</v>
      </c>
      <c r="C7" s="88">
        <f>'A1 Income Statement'!C6</f>
        <v>113743</v>
      </c>
      <c r="D7" s="88">
        <f>'A1 Income Statement'!D6</f>
        <v>80208</v>
      </c>
      <c r="E7" s="88">
        <f>'A1 Income Statement'!E6</f>
        <v>78678</v>
      </c>
      <c r="F7" s="88">
        <f>'A1 Income Statement'!F6</f>
        <v>80964.02</v>
      </c>
      <c r="G7" s="82">
        <f>'C1 Revenue Build'!B23</f>
        <v>353593.02</v>
      </c>
      <c r="H7" s="88">
        <f>'C1 Revenue Build'!C23</f>
        <v>378638.3824</v>
      </c>
      <c r="I7" s="88">
        <f>'C1 Revenue Build'!D23</f>
        <v>400881.3487</v>
      </c>
      <c r="J7" s="88">
        <f>'C1 Revenue Build'!E23</f>
        <v>421171.3175</v>
      </c>
      <c r="K7" s="88">
        <f>'C1 Revenue Build'!F23</f>
        <v>440406.5752</v>
      </c>
      <c r="L7" s="88">
        <f>'C1 Revenue Build'!G23</f>
        <v>458717.4062</v>
      </c>
      <c r="M7" s="88">
        <f>'C1 Revenue Build'!H23</f>
        <v>475512.2635</v>
      </c>
    </row>
    <row r="8" ht="19.5" customHeight="1">
      <c r="A8" s="62" t="s">
        <v>38</v>
      </c>
      <c r="B8" s="82">
        <v>109158.0</v>
      </c>
      <c r="C8" s="88">
        <f>'A1 Income Statement'!C7</f>
        <v>30013</v>
      </c>
      <c r="D8" s="88">
        <f>'A1 Income Statement'!D7</f>
        <v>30976</v>
      </c>
      <c r="E8" s="88">
        <f>'A1 Income Statement'!E7</f>
        <v>30739</v>
      </c>
      <c r="F8" s="88">
        <f>'A1 Income Statement'!F7</f>
        <v>32200</v>
      </c>
      <c r="G8" s="82">
        <f>'C1 Revenue Build'!B22</f>
        <v>123928</v>
      </c>
      <c r="H8" s="88">
        <f>'C1 Revenue Build'!C22</f>
        <v>138799.36</v>
      </c>
      <c r="I8" s="88">
        <f>'C1 Revenue Build'!D22</f>
        <v>154067.2896</v>
      </c>
      <c r="J8" s="88">
        <f>'C1 Revenue Build'!E22</f>
        <v>169474.0186</v>
      </c>
      <c r="K8" s="88">
        <f>'C1 Revenue Build'!F22</f>
        <v>184726.6802</v>
      </c>
      <c r="L8" s="88">
        <f>'C1 Revenue Build'!G22</f>
        <v>199504.8146</v>
      </c>
      <c r="M8" s="88">
        <f>'C1 Revenue Build'!H22</f>
        <v>213470.1517</v>
      </c>
    </row>
    <row r="9" ht="19.5" customHeight="1">
      <c r="A9" s="99" t="s">
        <v>25</v>
      </c>
      <c r="B9" s="100">
        <v>416161.0</v>
      </c>
      <c r="C9" s="101">
        <f>'A1 Income Statement'!C8</f>
        <v>143756</v>
      </c>
      <c r="D9" s="101">
        <f>'A1 Income Statement'!D8</f>
        <v>111184</v>
      </c>
      <c r="E9" s="101">
        <f>'A1 Income Statement'!E8</f>
        <v>109417</v>
      </c>
      <c r="F9" s="101">
        <f>'A1 Income Statement'!F8</f>
        <v>113164.02</v>
      </c>
      <c r="G9" s="100">
        <f t="shared" ref="G9:G13" si="2">SUM(C9:F9)</f>
        <v>477521.02</v>
      </c>
      <c r="H9" s="101">
        <f t="shared" ref="H9:M9" si="1">H7+H8</f>
        <v>517437.7424</v>
      </c>
      <c r="I9" s="101">
        <f t="shared" si="1"/>
        <v>554948.6383</v>
      </c>
      <c r="J9" s="101">
        <f t="shared" si="1"/>
        <v>590645.3361</v>
      </c>
      <c r="K9" s="101">
        <f t="shared" si="1"/>
        <v>625133.2554</v>
      </c>
      <c r="L9" s="101">
        <f t="shared" si="1"/>
        <v>658222.2208</v>
      </c>
      <c r="M9" s="101">
        <f t="shared" si="1"/>
        <v>688982.4152</v>
      </c>
    </row>
    <row r="10" ht="19.5" customHeight="1">
      <c r="A10" s="62" t="s">
        <v>49</v>
      </c>
      <c r="B10" s="82">
        <v>194116.0</v>
      </c>
      <c r="C10" s="88">
        <f>'A1 Income Statement'!C9</f>
        <v>67478</v>
      </c>
      <c r="D10" s="88">
        <f>'A1 Income Statement'!D9</f>
        <v>49179</v>
      </c>
      <c r="E10" s="88">
        <f>'A1 Income Statement'!E9</f>
        <v>47153</v>
      </c>
      <c r="F10" s="88">
        <f>'A1 Income Statement'!F9</f>
        <v>51522.1105</v>
      </c>
      <c r="G10" s="82">
        <f t="shared" si="2"/>
        <v>215332.1105</v>
      </c>
      <c r="H10" s="88">
        <f>H7*(1-'D IS Assumptions'!D12)</f>
        <v>229454.8597</v>
      </c>
      <c r="I10" s="88">
        <f>I7*(1-'D IS Assumptions'!D13)</f>
        <v>242132.3346</v>
      </c>
      <c r="J10" s="88">
        <f>J7*(1-'D IS Assumptions'!D14)</f>
        <v>253545.1331</v>
      </c>
      <c r="K10" s="88">
        <f>K7*(1-'D IS Assumptions'!D15)</f>
        <v>264243.9451</v>
      </c>
      <c r="L10" s="88">
        <f>L7*(1-'D IS Assumptions'!D16)</f>
        <v>274313.0089</v>
      </c>
      <c r="M10" s="88">
        <f>M7*(1-'D IS Assumptions'!D17)</f>
        <v>283405.309</v>
      </c>
    </row>
    <row r="11" ht="19.5" customHeight="1">
      <c r="A11" s="62" t="s">
        <v>57</v>
      </c>
      <c r="B11" s="82">
        <v>26844.0</v>
      </c>
      <c r="C11" s="88">
        <f>'A1 Income Statement'!C10</f>
        <v>7047</v>
      </c>
      <c r="D11" s="88">
        <f>'A1 Income Statement'!D10</f>
        <v>7224</v>
      </c>
      <c r="E11" s="88">
        <f>'A1 Income Statement'!E10</f>
        <v>7494</v>
      </c>
      <c r="F11" s="88">
        <f>'A1 Income Statement'!F10</f>
        <v>7889</v>
      </c>
      <c r="G11" s="82">
        <f t="shared" si="2"/>
        <v>29654</v>
      </c>
      <c r="H11" s="88">
        <f>H8*(1-'D IS Assumptions'!E12)</f>
        <v>33173.04704</v>
      </c>
      <c r="I11" s="88">
        <f>I8*(1-'D IS Assumptions'!E13)</f>
        <v>36668.01492</v>
      </c>
      <c r="J11" s="88">
        <f>J8*(1-'D IS Assumptions'!E14)</f>
        <v>40165.3424</v>
      </c>
      <c r="K11" s="88">
        <f>K8*(1-'D IS Assumptions'!E15)</f>
        <v>43595.49653</v>
      </c>
      <c r="L11" s="88">
        <f>L8*(1-'D IS Assumptions'!E16)</f>
        <v>46883.63144</v>
      </c>
      <c r="M11" s="88">
        <f>M8*(1-'D IS Assumptions'!E17)</f>
        <v>50165.48564</v>
      </c>
    </row>
    <row r="12" ht="19.5" customHeight="1">
      <c r="A12" s="99" t="s">
        <v>34</v>
      </c>
      <c r="B12" s="100">
        <v>220960.0</v>
      </c>
      <c r="C12" s="101">
        <f>'A1 Income Statement'!C11</f>
        <v>74525</v>
      </c>
      <c r="D12" s="101">
        <f>'A1 Income Statement'!D11</f>
        <v>56403</v>
      </c>
      <c r="E12" s="101">
        <f>'A1 Income Statement'!E11</f>
        <v>54647</v>
      </c>
      <c r="F12" s="101">
        <f>'A1 Income Statement'!F11</f>
        <v>59411.1105</v>
      </c>
      <c r="G12" s="100">
        <f t="shared" si="2"/>
        <v>244986.1105</v>
      </c>
      <c r="H12" s="101">
        <f t="shared" ref="H12:M12" si="3">H10+H11</f>
        <v>262627.9068</v>
      </c>
      <c r="I12" s="101">
        <f t="shared" si="3"/>
        <v>278800.3496</v>
      </c>
      <c r="J12" s="101">
        <f t="shared" si="3"/>
        <v>293710.4755</v>
      </c>
      <c r="K12" s="101">
        <f t="shared" si="3"/>
        <v>307839.4416</v>
      </c>
      <c r="L12" s="101">
        <f t="shared" si="3"/>
        <v>321196.6403</v>
      </c>
      <c r="M12" s="101">
        <f t="shared" si="3"/>
        <v>333570.7947</v>
      </c>
    </row>
    <row r="13" ht="19.5" customHeight="1">
      <c r="A13" s="99" t="s">
        <v>66</v>
      </c>
      <c r="B13" s="100">
        <v>195201.0</v>
      </c>
      <c r="C13" s="101">
        <f>'A1 Income Statement'!C12</f>
        <v>69231</v>
      </c>
      <c r="D13" s="101">
        <f>'A1 Income Statement'!D12</f>
        <v>54781</v>
      </c>
      <c r="E13" s="101">
        <f>'A1 Income Statement'!E12</f>
        <v>54770</v>
      </c>
      <c r="F13" s="101">
        <f>'A1 Income Statement'!F12</f>
        <v>53752.9095</v>
      </c>
      <c r="G13" s="100">
        <f t="shared" si="2"/>
        <v>232534.9095</v>
      </c>
      <c r="H13" s="101">
        <f t="shared" ref="H13:M13" si="4">H9-H12</f>
        <v>254809.8356</v>
      </c>
      <c r="I13" s="101">
        <f t="shared" si="4"/>
        <v>276148.2888</v>
      </c>
      <c r="J13" s="101">
        <f t="shared" si="4"/>
        <v>296934.8605</v>
      </c>
      <c r="K13" s="101">
        <f t="shared" si="4"/>
        <v>317293.8138</v>
      </c>
      <c r="L13" s="101">
        <f t="shared" si="4"/>
        <v>337025.5805</v>
      </c>
      <c r="M13" s="101">
        <f t="shared" si="4"/>
        <v>355411.6205</v>
      </c>
    </row>
    <row r="14" ht="19.5" customHeight="1">
      <c r="A14" s="62" t="s">
        <v>70</v>
      </c>
      <c r="B14" s="122">
        <v>0.469051641071605</v>
      </c>
      <c r="C14" s="125">
        <f>'A1 Income Statement'!C13</f>
        <v>0.4815868555</v>
      </c>
      <c r="D14" s="125">
        <f>'A1 Income Statement'!D13</f>
        <v>0.492705785</v>
      </c>
      <c r="E14" s="125">
        <f>'A1 Income Statement'!E13</f>
        <v>0.5005620699</v>
      </c>
      <c r="F14" s="125">
        <f>'A1 Income Statement'!F13</f>
        <v>0.475</v>
      </c>
      <c r="G14" s="122">
        <f t="shared" ref="G14:M14" si="5">G13/G9</f>
        <v>0.4869626671</v>
      </c>
      <c r="H14" s="125">
        <f t="shared" si="5"/>
        <v>0.4924453992</v>
      </c>
      <c r="I14" s="125">
        <f t="shared" si="5"/>
        <v>0.4976105349</v>
      </c>
      <c r="J14" s="125">
        <f t="shared" si="5"/>
        <v>0.5027295441</v>
      </c>
      <c r="K14" s="125">
        <f t="shared" si="5"/>
        <v>0.5075618854</v>
      </c>
      <c r="L14" s="125">
        <f t="shared" si="5"/>
        <v>0.5120240093</v>
      </c>
      <c r="M14" s="125">
        <f t="shared" si="5"/>
        <v>0.5158500604</v>
      </c>
    </row>
    <row r="15" ht="19.5" customHeight="1">
      <c r="A15" s="62" t="s">
        <v>78</v>
      </c>
      <c r="B15" s="122">
        <v>0.367706504496699</v>
      </c>
      <c r="C15" s="125">
        <f>'A1 Income Statement'!C14</f>
        <v>0.4067503055</v>
      </c>
      <c r="D15" s="125">
        <f>'A1 Income Statement'!D14</f>
        <v>0.3868566727</v>
      </c>
      <c r="E15" s="125">
        <f>'A1 Income Statement'!E14</f>
        <v>0.4006837998</v>
      </c>
      <c r="F15" s="125">
        <f>'A1 Income Statement'!F14</f>
        <v>0.363641893</v>
      </c>
      <c r="G15" s="122">
        <f t="shared" ref="G15:M15" si="6">1-G10/G7</f>
        <v>0.3910170781</v>
      </c>
      <c r="H15" s="125">
        <f t="shared" si="6"/>
        <v>0.394</v>
      </c>
      <c r="I15" s="125">
        <f t="shared" si="6"/>
        <v>0.396</v>
      </c>
      <c r="J15" s="125">
        <f t="shared" si="6"/>
        <v>0.398</v>
      </c>
      <c r="K15" s="125">
        <f t="shared" si="6"/>
        <v>0.4</v>
      </c>
      <c r="L15" s="125">
        <f t="shared" si="6"/>
        <v>0.402</v>
      </c>
      <c r="M15" s="125">
        <f t="shared" si="6"/>
        <v>0.404</v>
      </c>
    </row>
    <row r="16" ht="19.5" customHeight="1">
      <c r="A16" s="62" t="s">
        <v>81</v>
      </c>
      <c r="B16" s="122">
        <v>0.754081240037377</v>
      </c>
      <c r="C16" s="125">
        <f>'A1 Income Statement'!C15</f>
        <v>0.7652017459</v>
      </c>
      <c r="D16" s="125">
        <f>'A1 Income Statement'!D15</f>
        <v>0.7667871901</v>
      </c>
      <c r="E16" s="125">
        <f>'A1 Income Statement'!E15</f>
        <v>0.7562054719</v>
      </c>
      <c r="F16" s="125">
        <f>'A1 Income Statement'!F15</f>
        <v>0.755</v>
      </c>
      <c r="G16" s="122">
        <f t="shared" ref="G16:M16" si="7">1-G11/G8</f>
        <v>0.7607158996</v>
      </c>
      <c r="H16" s="125">
        <f t="shared" si="7"/>
        <v>0.761</v>
      </c>
      <c r="I16" s="125">
        <f t="shared" si="7"/>
        <v>0.762</v>
      </c>
      <c r="J16" s="125">
        <f t="shared" si="7"/>
        <v>0.763</v>
      </c>
      <c r="K16" s="125">
        <f t="shared" si="7"/>
        <v>0.764</v>
      </c>
      <c r="L16" s="125">
        <f t="shared" si="7"/>
        <v>0.765</v>
      </c>
      <c r="M16" s="125">
        <f t="shared" si="7"/>
        <v>0.765</v>
      </c>
    </row>
    <row r="17" ht="19.5" customHeight="1">
      <c r="A17" s="62"/>
      <c r="B17" s="136"/>
      <c r="C17" s="137"/>
      <c r="D17" s="137"/>
      <c r="E17" s="137"/>
      <c r="F17" s="137"/>
      <c r="G17" s="136"/>
      <c r="H17" s="137"/>
      <c r="I17" s="137"/>
      <c r="J17" s="137"/>
      <c r="K17" s="137"/>
      <c r="L17" s="137"/>
      <c r="M17" s="137"/>
    </row>
    <row r="18" ht="19.5" customHeight="1">
      <c r="A18" s="77" t="s">
        <v>87</v>
      </c>
      <c r="B18" s="79"/>
      <c r="C18" s="139"/>
      <c r="D18" s="139"/>
      <c r="E18" s="139"/>
      <c r="F18" s="139"/>
      <c r="G18" s="79"/>
      <c r="H18" s="139"/>
      <c r="I18" s="139"/>
      <c r="J18" s="139"/>
      <c r="K18" s="139"/>
      <c r="L18" s="139"/>
      <c r="M18" s="140"/>
    </row>
    <row r="19" ht="19.5" customHeight="1">
      <c r="A19" s="62" t="s">
        <v>90</v>
      </c>
      <c r="B19" s="82">
        <v>34550.0</v>
      </c>
      <c r="C19" s="88">
        <f>'A1 Income Statement'!C18</f>
        <v>10887</v>
      </c>
      <c r="D19" s="88">
        <f>'A1 Income Statement'!D18</f>
        <v>11419</v>
      </c>
      <c r="E19" s="88">
        <f>'A1 Income Statement'!E18</f>
        <v>11729</v>
      </c>
      <c r="F19" s="88">
        <f>'A1 Income Statement'!F18</f>
        <v>11836.6055</v>
      </c>
      <c r="G19" s="82">
        <f t="shared" ref="G19:G22" si="8">SUM(C19:F19)</f>
        <v>45871.6055</v>
      </c>
      <c r="H19" s="88">
        <f>H9*'D IS Assumptions'!F12</f>
        <v>49674.02327</v>
      </c>
      <c r="I19" s="88">
        <f>I9*'D IS Assumptions'!F13</f>
        <v>52720.12064</v>
      </c>
      <c r="J19" s="88">
        <f>J9*'D IS Assumptions'!F14</f>
        <v>55520.66159</v>
      </c>
      <c r="K19" s="88">
        <f>K9*'D IS Assumptions'!F15</f>
        <v>58137.39275</v>
      </c>
      <c r="L19" s="88">
        <f>L9*'D IS Assumptions'!F16</f>
        <v>60556.44432</v>
      </c>
      <c r="M19" s="88">
        <f>M9*'D IS Assumptions'!F17</f>
        <v>62697.39978</v>
      </c>
    </row>
    <row r="20" ht="19.5" customHeight="1">
      <c r="A20" s="62" t="s">
        <v>97</v>
      </c>
      <c r="B20" s="82">
        <v>27601.0</v>
      </c>
      <c r="C20" s="88">
        <f>'A1 Income Statement'!C19</f>
        <v>7492</v>
      </c>
      <c r="D20" s="88">
        <f>'A1 Income Statement'!D19</f>
        <v>7477</v>
      </c>
      <c r="E20" s="88">
        <f>'A1 Income Statement'!E19</f>
        <v>7346</v>
      </c>
      <c r="F20" s="88">
        <f>'A1 Income Statement'!F19</f>
        <v>7413.394495</v>
      </c>
      <c r="G20" s="82">
        <f t="shared" si="8"/>
        <v>29728.3945</v>
      </c>
      <c r="H20" s="88">
        <f>H9*'D IS Assumptions'!G12</f>
        <v>32081.14003</v>
      </c>
      <c r="I20" s="88">
        <f>I9*'D IS Assumptions'!G13</f>
        <v>33851.86694</v>
      </c>
      <c r="J20" s="88">
        <f>J9*'D IS Assumptions'!G14</f>
        <v>35438.72016</v>
      </c>
      <c r="K20" s="88">
        <f>K9*'D IS Assumptions'!G15</f>
        <v>36882.86207</v>
      </c>
      <c r="L20" s="88">
        <f>L9*'D IS Assumptions'!G16</f>
        <v>38176.88881</v>
      </c>
      <c r="M20" s="88">
        <f>M9*'D IS Assumptions'!G17</f>
        <v>39271.99766</v>
      </c>
    </row>
    <row r="21" ht="19.5" customHeight="1">
      <c r="A21" s="99" t="s">
        <v>52</v>
      </c>
      <c r="B21" s="100">
        <v>62151.0</v>
      </c>
      <c r="C21" s="101">
        <f>'A1 Income Statement'!C20</f>
        <v>18379</v>
      </c>
      <c r="D21" s="101">
        <f>'A1 Income Statement'!D20</f>
        <v>18896</v>
      </c>
      <c r="E21" s="101">
        <f>'A1 Income Statement'!E20</f>
        <v>19075</v>
      </c>
      <c r="F21" s="101">
        <f>'A1 Income Statement'!F20</f>
        <v>19250</v>
      </c>
      <c r="G21" s="100">
        <f t="shared" si="8"/>
        <v>75600</v>
      </c>
      <c r="H21" s="101">
        <f t="shared" ref="H21:M21" si="9">H19+H20</f>
        <v>81755.1633</v>
      </c>
      <c r="I21" s="101">
        <f t="shared" si="9"/>
        <v>86571.98758</v>
      </c>
      <c r="J21" s="101">
        <f t="shared" si="9"/>
        <v>90959.38175</v>
      </c>
      <c r="K21" s="101">
        <f t="shared" si="9"/>
        <v>95020.25482</v>
      </c>
      <c r="L21" s="101">
        <f t="shared" si="9"/>
        <v>98733.33313</v>
      </c>
      <c r="M21" s="101">
        <f t="shared" si="9"/>
        <v>101969.3974</v>
      </c>
    </row>
    <row r="22" ht="19.5" customHeight="1">
      <c r="A22" s="99" t="s">
        <v>39</v>
      </c>
      <c r="B22" s="100">
        <v>133050.0</v>
      </c>
      <c r="C22" s="101">
        <f>'A1 Income Statement'!C21</f>
        <v>50852</v>
      </c>
      <c r="D22" s="101">
        <f>'A1 Income Statement'!D21</f>
        <v>35885</v>
      </c>
      <c r="E22" s="101">
        <f>'A1 Income Statement'!E21</f>
        <v>35695</v>
      </c>
      <c r="F22" s="101">
        <f>'A1 Income Statement'!F21</f>
        <v>34502.9095</v>
      </c>
      <c r="G22" s="100">
        <f t="shared" si="8"/>
        <v>156934.9095</v>
      </c>
      <c r="H22" s="101">
        <f t="shared" ref="H22:M22" si="10">H13-H21</f>
        <v>173054.6723</v>
      </c>
      <c r="I22" s="101">
        <f t="shared" si="10"/>
        <v>189576.3012</v>
      </c>
      <c r="J22" s="101">
        <f t="shared" si="10"/>
        <v>205975.4788</v>
      </c>
      <c r="K22" s="101">
        <f t="shared" si="10"/>
        <v>222273.5589</v>
      </c>
      <c r="L22" s="101">
        <f t="shared" si="10"/>
        <v>238292.2474</v>
      </c>
      <c r="M22" s="101">
        <f t="shared" si="10"/>
        <v>253442.223</v>
      </c>
    </row>
    <row r="23" ht="19.5" customHeight="1">
      <c r="A23" s="62" t="s">
        <v>103</v>
      </c>
      <c r="B23" s="122">
        <v>0.319707997625919</v>
      </c>
      <c r="C23" s="125">
        <f>'A1 Income Statement'!C22</f>
        <v>0.3537382788</v>
      </c>
      <c r="D23" s="125">
        <f>'A1 Income Statement'!D22</f>
        <v>0.3227532739</v>
      </c>
      <c r="E23" s="125">
        <f>'A1 Income Statement'!E22</f>
        <v>0.3262290138</v>
      </c>
      <c r="F23" s="125">
        <f>'A1 Income Statement'!F22</f>
        <v>0.3048929289</v>
      </c>
      <c r="G23" s="122">
        <f t="shared" ref="G23:M23" si="11">G22/G9</f>
        <v>0.3286450291</v>
      </c>
      <c r="H23" s="125">
        <f t="shared" si="11"/>
        <v>0.3344453992</v>
      </c>
      <c r="I23" s="125">
        <f t="shared" si="11"/>
        <v>0.3416105349</v>
      </c>
      <c r="J23" s="125">
        <f t="shared" si="11"/>
        <v>0.3487295441</v>
      </c>
      <c r="K23" s="125">
        <f t="shared" si="11"/>
        <v>0.3555618854</v>
      </c>
      <c r="L23" s="125">
        <f t="shared" si="11"/>
        <v>0.3620240093</v>
      </c>
      <c r="M23" s="125">
        <f t="shared" si="11"/>
        <v>0.3678500604</v>
      </c>
    </row>
    <row r="24" ht="19.5" customHeight="1">
      <c r="A24" s="62"/>
      <c r="B24" s="136"/>
      <c r="C24" s="137"/>
      <c r="D24" s="137"/>
      <c r="E24" s="137"/>
      <c r="F24" s="137"/>
      <c r="G24" s="136"/>
      <c r="H24" s="137"/>
      <c r="I24" s="137"/>
      <c r="J24" s="137"/>
      <c r="K24" s="137"/>
      <c r="L24" s="137"/>
      <c r="M24" s="137"/>
    </row>
    <row r="25" ht="19.5" customHeight="1">
      <c r="A25" s="77" t="s">
        <v>107</v>
      </c>
      <c r="B25" s="79"/>
      <c r="C25" s="139"/>
      <c r="D25" s="139"/>
      <c r="E25" s="139"/>
      <c r="F25" s="139"/>
      <c r="G25" s="79"/>
      <c r="H25" s="139"/>
      <c r="I25" s="139"/>
      <c r="J25" s="139"/>
      <c r="K25" s="139"/>
      <c r="L25" s="139"/>
      <c r="M25" s="140"/>
    </row>
    <row r="26" ht="19.5" customHeight="1">
      <c r="A26" s="62" t="s">
        <v>63</v>
      </c>
      <c r="B26" s="82">
        <v>-321.0</v>
      </c>
      <c r="C26" s="88">
        <f>'A1 Income Statement'!C25</f>
        <v>150</v>
      </c>
      <c r="D26" s="88">
        <f>'A1 Income Statement'!D25</f>
        <v>-52</v>
      </c>
      <c r="E26" s="88">
        <f>'A1 Income Statement'!E25</f>
        <v>572</v>
      </c>
      <c r="F26" s="88">
        <f>'A1 Income Statement'!F25</f>
        <v>350</v>
      </c>
      <c r="G26" s="82">
        <f t="shared" ref="G26:G27" si="12">SUM(C26:F26)</f>
        <v>1020</v>
      </c>
      <c r="H26" s="88">
        <f>H9*'D IS Assumptions'!H12</f>
        <v>1034.875485</v>
      </c>
      <c r="I26" s="88">
        <f>I9*'D IS Assumptions'!H13</f>
        <v>1109.897277</v>
      </c>
      <c r="J26" s="88">
        <f>J9*'D IS Assumptions'!H14</f>
        <v>1181.290672</v>
      </c>
      <c r="K26" s="88">
        <f>K9*'D IS Assumptions'!H15</f>
        <v>1250.266511</v>
      </c>
      <c r="L26" s="88">
        <f>L9*'D IS Assumptions'!H16</f>
        <v>1316.444442</v>
      </c>
      <c r="M26" s="88">
        <f>M9*'D IS Assumptions'!H17</f>
        <v>1377.96483</v>
      </c>
    </row>
    <row r="27" ht="19.5" customHeight="1">
      <c r="A27" s="99" t="s">
        <v>113</v>
      </c>
      <c r="B27" s="100">
        <v>132729.0</v>
      </c>
      <c r="C27" s="101">
        <f>'A1 Income Statement'!C26</f>
        <v>51002</v>
      </c>
      <c r="D27" s="101">
        <f>'A1 Income Statement'!D26</f>
        <v>35833</v>
      </c>
      <c r="E27" s="101">
        <f>'A1 Income Statement'!E26</f>
        <v>36267</v>
      </c>
      <c r="F27" s="101">
        <f>'A1 Income Statement'!F26</f>
        <v>34852.9095</v>
      </c>
      <c r="G27" s="100">
        <f t="shared" si="12"/>
        <v>157954.9095</v>
      </c>
      <c r="H27" s="101">
        <f t="shared" ref="H27:M27" si="13">H22+H26</f>
        <v>174089.5478</v>
      </c>
      <c r="I27" s="101">
        <f t="shared" si="13"/>
        <v>190686.1985</v>
      </c>
      <c r="J27" s="101">
        <f t="shared" si="13"/>
        <v>207156.7694</v>
      </c>
      <c r="K27" s="101">
        <f t="shared" si="13"/>
        <v>223523.8255</v>
      </c>
      <c r="L27" s="101">
        <f t="shared" si="13"/>
        <v>239608.6918</v>
      </c>
      <c r="M27" s="101">
        <f t="shared" si="13"/>
        <v>254820.1879</v>
      </c>
    </row>
    <row r="28" ht="19.5" customHeight="1">
      <c r="A28" s="62" t="s">
        <v>67</v>
      </c>
      <c r="B28" s="122">
        <v>0.15610002335586</v>
      </c>
      <c r="C28" s="125">
        <f>'A1 Income Statement'!C27</f>
        <v>0.174600996</v>
      </c>
      <c r="D28" s="125">
        <f>'A1 Income Statement'!D27</f>
        <v>0.1745597633</v>
      </c>
      <c r="E28" s="125">
        <f>'A1 Income Statement'!E27</f>
        <v>0.1786196818</v>
      </c>
      <c r="F28" s="125">
        <f>'A1 Income Statement'!F27</f>
        <v>0.165</v>
      </c>
      <c r="G28" s="122">
        <f>G29/G27</f>
        <v>0.1733958771</v>
      </c>
      <c r="H28" s="125">
        <f>'D IS Assumptions'!I12</f>
        <v>0.165</v>
      </c>
      <c r="I28" s="125">
        <f>'D IS Assumptions'!I13</f>
        <v>0.165</v>
      </c>
      <c r="J28" s="125">
        <f>'D IS Assumptions'!I14</f>
        <v>0.165</v>
      </c>
      <c r="K28" s="125">
        <f>'D IS Assumptions'!I15</f>
        <v>0.165</v>
      </c>
      <c r="L28" s="125">
        <f>'D IS Assumptions'!I16</f>
        <v>0.165</v>
      </c>
      <c r="M28" s="125">
        <f>'D IS Assumptions'!I17</f>
        <v>0.165</v>
      </c>
    </row>
    <row r="29" ht="19.5" customHeight="1">
      <c r="A29" s="62" t="s">
        <v>119</v>
      </c>
      <c r="B29" s="82">
        <v>20719.0</v>
      </c>
      <c r="C29" s="88">
        <f>'A1 Income Statement'!C28</f>
        <v>8905</v>
      </c>
      <c r="D29" s="88">
        <f>'A1 Income Statement'!D28</f>
        <v>6255</v>
      </c>
      <c r="E29" s="88">
        <f>'A1 Income Statement'!E28</f>
        <v>6478</v>
      </c>
      <c r="F29" s="88">
        <f>'A1 Income Statement'!F28</f>
        <v>5750.730068</v>
      </c>
      <c r="G29" s="82">
        <f t="shared" ref="G29:G30" si="15">SUM(C29:F29)</f>
        <v>27388.73007</v>
      </c>
      <c r="H29" s="88">
        <f t="shared" ref="H29:M29" si="14">H27*H28</f>
        <v>28724.77539</v>
      </c>
      <c r="I29" s="88">
        <f t="shared" si="14"/>
        <v>31463.22275</v>
      </c>
      <c r="J29" s="88">
        <f t="shared" si="14"/>
        <v>34180.86696</v>
      </c>
      <c r="K29" s="88">
        <f t="shared" si="14"/>
        <v>36881.4312</v>
      </c>
      <c r="L29" s="88">
        <f t="shared" si="14"/>
        <v>39535.43415</v>
      </c>
      <c r="M29" s="88">
        <f t="shared" si="14"/>
        <v>42045.331</v>
      </c>
    </row>
    <row r="30" ht="19.5" customHeight="1">
      <c r="A30" s="99" t="s">
        <v>41</v>
      </c>
      <c r="B30" s="100">
        <v>112010.0</v>
      </c>
      <c r="C30" s="101">
        <f>'A1 Income Statement'!C29</f>
        <v>42097</v>
      </c>
      <c r="D30" s="101">
        <f>'A1 Income Statement'!D29</f>
        <v>29578</v>
      </c>
      <c r="E30" s="101">
        <f>'A1 Income Statement'!E29</f>
        <v>29789</v>
      </c>
      <c r="F30" s="101">
        <f>'A1 Income Statement'!F29</f>
        <v>29102.17943</v>
      </c>
      <c r="G30" s="100">
        <f t="shared" si="15"/>
        <v>130566.1794</v>
      </c>
      <c r="H30" s="101">
        <f t="shared" ref="H30:M30" si="16">H27-H29</f>
        <v>145364.7724</v>
      </c>
      <c r="I30" s="101">
        <f t="shared" si="16"/>
        <v>159222.9757</v>
      </c>
      <c r="J30" s="101">
        <f t="shared" si="16"/>
        <v>172975.9025</v>
      </c>
      <c r="K30" s="101">
        <f t="shared" si="16"/>
        <v>186642.3943</v>
      </c>
      <c r="L30" s="101">
        <f t="shared" si="16"/>
        <v>200073.2577</v>
      </c>
      <c r="M30" s="101">
        <f t="shared" si="16"/>
        <v>212774.8569</v>
      </c>
    </row>
    <row r="31" ht="19.5" customHeight="1">
      <c r="A31" s="62" t="s">
        <v>424</v>
      </c>
      <c r="B31" s="122">
        <v>0.269150641218182</v>
      </c>
      <c r="C31" s="125">
        <f t="shared" ref="C31:M31" si="17">C30/C9</f>
        <v>0.2928364729</v>
      </c>
      <c r="D31" s="125">
        <f t="shared" si="17"/>
        <v>0.266027486</v>
      </c>
      <c r="E31" s="125">
        <f t="shared" si="17"/>
        <v>0.2722520267</v>
      </c>
      <c r="F31" s="125">
        <f t="shared" si="17"/>
        <v>0.2571681302</v>
      </c>
      <c r="G31" s="122">
        <f t="shared" si="17"/>
        <v>0.2734249886</v>
      </c>
      <c r="H31" s="125">
        <f t="shared" si="17"/>
        <v>0.2809319083</v>
      </c>
      <c r="I31" s="125">
        <f t="shared" si="17"/>
        <v>0.2869147967</v>
      </c>
      <c r="J31" s="125">
        <f t="shared" si="17"/>
        <v>0.2928591693</v>
      </c>
      <c r="K31" s="125">
        <f t="shared" si="17"/>
        <v>0.2985641743</v>
      </c>
      <c r="L31" s="125">
        <f t="shared" si="17"/>
        <v>0.3039600477</v>
      </c>
      <c r="M31" s="125">
        <f t="shared" si="17"/>
        <v>0.3088248004</v>
      </c>
    </row>
    <row r="32" ht="19.5" customHeight="1">
      <c r="A32" s="62" t="s">
        <v>50</v>
      </c>
      <c r="B32" s="164">
        <v>15004.7</v>
      </c>
      <c r="C32" s="165">
        <f>'A1 Income Statement'!C30</f>
        <v>14810.36</v>
      </c>
      <c r="D32" s="165">
        <f>'A1 Income Statement'!D30</f>
        <v>14725.87</v>
      </c>
      <c r="E32" s="165">
        <f>'A1 Income Statement'!E30</f>
        <v>14714.68</v>
      </c>
      <c r="F32" s="165">
        <f>'A1 Income Statement'!F30</f>
        <v>14650</v>
      </c>
      <c r="G32" s="164">
        <f>AVERAGE(C32:F32)</f>
        <v>14725.2275</v>
      </c>
      <c r="H32" s="165">
        <f>G32*(1+'D IS Assumptions'!J12)</f>
        <v>14430.72295</v>
      </c>
      <c r="I32" s="165">
        <f>H32*(1+'D IS Assumptions'!J13)</f>
        <v>14142.10849</v>
      </c>
      <c r="J32" s="165">
        <f>I32*(1+'D IS Assumptions'!J14)</f>
        <v>13859.26632</v>
      </c>
      <c r="K32" s="165">
        <f>J32*(1+'D IS Assumptions'!J15)</f>
        <v>13582.08099</v>
      </c>
      <c r="L32" s="165">
        <f>K32*(1+'D IS Assumptions'!J16)</f>
        <v>13310.43937</v>
      </c>
      <c r="M32" s="165">
        <f>L32*(1+'D IS Assumptions'!J17)</f>
        <v>13044.23059</v>
      </c>
    </row>
    <row r="33" ht="19.5" customHeight="1">
      <c r="A33" s="99" t="s">
        <v>44</v>
      </c>
      <c r="B33" s="166">
        <v>7.46</v>
      </c>
      <c r="C33" s="167">
        <f>'A1 Income Statement'!C31</f>
        <v>2.84</v>
      </c>
      <c r="D33" s="167">
        <f>'A1 Income Statement'!D31</f>
        <v>2.01</v>
      </c>
      <c r="E33" s="167">
        <f>'A1 Income Statement'!E31</f>
        <v>2.02</v>
      </c>
      <c r="F33" s="167">
        <f>'A1 Income Statement'!F31</f>
        <v>1.98649689</v>
      </c>
      <c r="G33" s="166">
        <f t="shared" ref="G33:M33" si="18">G30/G32</f>
        <v>8.866836144</v>
      </c>
      <c r="H33" s="167">
        <f t="shared" si="18"/>
        <v>10.07328413</v>
      </c>
      <c r="I33" s="167">
        <f t="shared" si="18"/>
        <v>11.25878619</v>
      </c>
      <c r="J33" s="167">
        <f t="shared" si="18"/>
        <v>12.48088452</v>
      </c>
      <c r="K33" s="167">
        <f t="shared" si="18"/>
        <v>13.74181131</v>
      </c>
      <c r="L33" s="167">
        <f t="shared" si="18"/>
        <v>15.03130378</v>
      </c>
      <c r="M33" s="167">
        <f t="shared" si="18"/>
        <v>16.31179819</v>
      </c>
    </row>
    <row r="34" ht="19.5" customHeight="1">
      <c r="A34" s="62" t="s">
        <v>21</v>
      </c>
      <c r="B34" s="122"/>
      <c r="C34" s="125"/>
      <c r="D34" s="125"/>
      <c r="E34" s="125"/>
      <c r="F34" s="125"/>
      <c r="G34" s="122">
        <f>G9/B9-1</f>
        <v>0.1474429848</v>
      </c>
      <c r="H34" s="125">
        <f t="shared" ref="H34:M34" si="19">H9/G9-1</f>
        <v>0.08359155038</v>
      </c>
      <c r="I34" s="125">
        <f t="shared" si="19"/>
        <v>0.07249354438</v>
      </c>
      <c r="J34" s="125">
        <f t="shared" si="19"/>
        <v>0.06432432705</v>
      </c>
      <c r="K34" s="125">
        <f t="shared" si="19"/>
        <v>0.05839023392</v>
      </c>
      <c r="L34" s="125">
        <f t="shared" si="19"/>
        <v>0.05293105937</v>
      </c>
      <c r="M34" s="125">
        <f t="shared" si="19"/>
        <v>0.04673223319</v>
      </c>
    </row>
    <row r="35" ht="19.5" customHeight="1">
      <c r="A35" s="62" t="s">
        <v>437</v>
      </c>
      <c r="B35" s="122"/>
      <c r="C35" s="125"/>
      <c r="D35" s="125"/>
      <c r="E35" s="125"/>
      <c r="F35" s="125"/>
      <c r="G35" s="122">
        <f>G33/B33-1</f>
        <v>0.1885839336</v>
      </c>
      <c r="H35" s="125">
        <f t="shared" ref="H35:M35" si="20">H33/G33-1</f>
        <v>0.1360629611</v>
      </c>
      <c r="I35" s="125">
        <f t="shared" si="20"/>
        <v>0.1176877417</v>
      </c>
      <c r="J35" s="125">
        <f t="shared" si="20"/>
        <v>0.108546189</v>
      </c>
      <c r="K35" s="125">
        <f t="shared" si="20"/>
        <v>0.1010286402</v>
      </c>
      <c r="L35" s="125">
        <f t="shared" si="20"/>
        <v>0.09383715414</v>
      </c>
      <c r="M35" s="125">
        <f t="shared" si="20"/>
        <v>0.08518851256</v>
      </c>
    </row>
    <row r="36" ht="19.5" customHeight="1">
      <c r="A36" s="62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</row>
    <row r="37" ht="19.5" customHeight="1">
      <c r="A37" s="77" t="s">
        <v>438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80"/>
    </row>
    <row r="38" ht="19.5" customHeight="1">
      <c r="A38" s="168" t="s">
        <v>439</v>
      </c>
      <c r="B38" s="169">
        <f t="shared" ref="B38:M38" si="21">B13-(B9-B12)</f>
        <v>0</v>
      </c>
      <c r="C38" s="169">
        <f t="shared" si="21"/>
        <v>0</v>
      </c>
      <c r="D38" s="169">
        <f t="shared" si="21"/>
        <v>0</v>
      </c>
      <c r="E38" s="169">
        <f t="shared" si="21"/>
        <v>0</v>
      </c>
      <c r="F38" s="169">
        <f t="shared" si="21"/>
        <v>0</v>
      </c>
      <c r="G38" s="169">
        <f t="shared" si="21"/>
        <v>0</v>
      </c>
      <c r="H38" s="169">
        <f t="shared" si="21"/>
        <v>0</v>
      </c>
      <c r="I38" s="169">
        <f t="shared" si="21"/>
        <v>0</v>
      </c>
      <c r="J38" s="169">
        <f t="shared" si="21"/>
        <v>0</v>
      </c>
      <c r="K38" s="169">
        <f t="shared" si="21"/>
        <v>0</v>
      </c>
      <c r="L38" s="169">
        <f t="shared" si="21"/>
        <v>0</v>
      </c>
      <c r="M38" s="170">
        <f t="shared" si="21"/>
        <v>0</v>
      </c>
    </row>
    <row r="39" ht="19.5" customHeight="1">
      <c r="A39" s="171" t="s">
        <v>440</v>
      </c>
      <c r="B39" s="172">
        <f t="shared" ref="B39:M39" si="22">B22-(B13-B21)</f>
        <v>0</v>
      </c>
      <c r="C39" s="172">
        <f t="shared" si="22"/>
        <v>0</v>
      </c>
      <c r="D39" s="172">
        <f t="shared" si="22"/>
        <v>0</v>
      </c>
      <c r="E39" s="172">
        <f t="shared" si="22"/>
        <v>0</v>
      </c>
      <c r="F39" s="172">
        <f t="shared" si="22"/>
        <v>0</v>
      </c>
      <c r="G39" s="172">
        <f t="shared" si="22"/>
        <v>0</v>
      </c>
      <c r="H39" s="172">
        <f t="shared" si="22"/>
        <v>0</v>
      </c>
      <c r="I39" s="172">
        <f t="shared" si="22"/>
        <v>0</v>
      </c>
      <c r="J39" s="172">
        <f t="shared" si="22"/>
        <v>0</v>
      </c>
      <c r="K39" s="172">
        <f t="shared" si="22"/>
        <v>0</v>
      </c>
      <c r="L39" s="172">
        <f t="shared" si="22"/>
        <v>0</v>
      </c>
      <c r="M39" s="173">
        <f t="shared" si="22"/>
        <v>0</v>
      </c>
    </row>
    <row r="40" ht="19.5" customHeight="1">
      <c r="A40" s="171" t="s">
        <v>442</v>
      </c>
      <c r="B40" s="172">
        <f t="shared" ref="B40:M40" si="23">B30-(B27-B29)</f>
        <v>0</v>
      </c>
      <c r="C40" s="172">
        <f t="shared" si="23"/>
        <v>0</v>
      </c>
      <c r="D40" s="172">
        <f t="shared" si="23"/>
        <v>0</v>
      </c>
      <c r="E40" s="172">
        <f t="shared" si="23"/>
        <v>0</v>
      </c>
      <c r="F40" s="172">
        <f t="shared" si="23"/>
        <v>0</v>
      </c>
      <c r="G40" s="172">
        <f t="shared" si="23"/>
        <v>0</v>
      </c>
      <c r="H40" s="172">
        <f t="shared" si="23"/>
        <v>0</v>
      </c>
      <c r="I40" s="172">
        <f t="shared" si="23"/>
        <v>0</v>
      </c>
      <c r="J40" s="172">
        <f t="shared" si="23"/>
        <v>0</v>
      </c>
      <c r="K40" s="172">
        <f t="shared" si="23"/>
        <v>0</v>
      </c>
      <c r="L40" s="172">
        <f t="shared" si="23"/>
        <v>0</v>
      </c>
      <c r="M40" s="173">
        <f t="shared" si="23"/>
        <v>0</v>
      </c>
    </row>
    <row r="41" ht="19.5" customHeight="1">
      <c r="A41" s="174" t="s">
        <v>443</v>
      </c>
      <c r="B41" s="175"/>
      <c r="C41" s="175"/>
      <c r="D41" s="175"/>
      <c r="E41" s="175"/>
      <c r="F41" s="175"/>
      <c r="G41" s="175">
        <f>G9-SUM(C9:F9)</f>
        <v>0</v>
      </c>
      <c r="H41" s="175"/>
      <c r="I41" s="175"/>
      <c r="J41" s="175"/>
      <c r="K41" s="175"/>
      <c r="L41" s="175"/>
      <c r="M41" s="17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38:M41">
    <cfRule type="cellIs" dxfId="1" priority="1" operator="greaterThan">
      <formula>0.01</formula>
    </cfRule>
  </conditionalFormatting>
  <conditionalFormatting sqref="B38:M41">
    <cfRule type="cellIs" dxfId="1" priority="2" operator="lessThan">
      <formula>-0.01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9.0"/>
    <col customWidth="1" min="2" max="10" width="13.0"/>
    <col customWidth="1" min="11" max="11" width="18.0"/>
    <col customWidth="1" min="12" max="12" width="52.0"/>
    <col customWidth="1" min="13" max="13" width="38.0"/>
    <col customWidth="1" min="14" max="26" width="9.0"/>
  </cols>
  <sheetData>
    <row r="1" ht="14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ht="27.75" customHeight="1">
      <c r="A2" s="71" t="s">
        <v>214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</row>
    <row r="3" ht="14.25" customHeight="1">
      <c r="A3" s="72" t="s">
        <v>216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ht="14.25" customHeight="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</row>
    <row r="5" ht="37.5" customHeight="1">
      <c r="A5" s="74" t="s">
        <v>219</v>
      </c>
      <c r="B5" s="74" t="s">
        <v>222</v>
      </c>
      <c r="C5" s="74" t="s">
        <v>223</v>
      </c>
      <c r="D5" s="74" t="s">
        <v>224</v>
      </c>
      <c r="E5" s="74" t="s">
        <v>45</v>
      </c>
      <c r="F5" s="74" t="s">
        <v>225</v>
      </c>
      <c r="G5" s="74" t="s">
        <v>226</v>
      </c>
      <c r="H5" s="74" t="s">
        <v>227</v>
      </c>
      <c r="I5" s="74" t="s">
        <v>67</v>
      </c>
      <c r="J5" s="74" t="s">
        <v>229</v>
      </c>
      <c r="K5" s="74" t="s">
        <v>231</v>
      </c>
      <c r="L5" s="74" t="s">
        <v>233</v>
      </c>
      <c r="M5" s="74" t="s">
        <v>190</v>
      </c>
    </row>
    <row r="6" ht="39.75" customHeight="1">
      <c r="A6" s="76" t="s">
        <v>237</v>
      </c>
      <c r="B6" s="78"/>
      <c r="C6" s="78"/>
      <c r="D6" s="78">
        <v>0.353493032764836</v>
      </c>
      <c r="E6" s="78">
        <v>0.697259773474607</v>
      </c>
      <c r="F6" s="78">
        <v>0.0599042690744279</v>
      </c>
      <c r="G6" s="78">
        <v>0.0600655519016339</v>
      </c>
      <c r="H6" s="78">
        <v>7.05270668120946E-4</v>
      </c>
      <c r="I6" s="78">
        <v>0.133022608440851</v>
      </c>
      <c r="J6" s="78"/>
      <c r="K6" s="69" t="s">
        <v>238</v>
      </c>
      <c r="L6" s="81" t="s">
        <v>239</v>
      </c>
      <c r="M6" s="81" t="s">
        <v>243</v>
      </c>
    </row>
    <row r="7" ht="39.75" customHeight="1">
      <c r="A7" s="76" t="s">
        <v>244</v>
      </c>
      <c r="B7" s="78">
        <v>0.0632397643514284</v>
      </c>
      <c r="C7" s="78">
        <v>0.141819510412861</v>
      </c>
      <c r="D7" s="78">
        <v>0.362834797073995</v>
      </c>
      <c r="E7" s="78">
        <v>0.717454466331324</v>
      </c>
      <c r="F7" s="78">
        <v>0.0665714836379867</v>
      </c>
      <c r="G7" s="78">
        <v>0.0636373780203283</v>
      </c>
      <c r="H7" s="78">
        <v>-8.4701061045627E-4</v>
      </c>
      <c r="I7" s="78">
        <v>0.162044616844244</v>
      </c>
      <c r="J7" s="78">
        <v>-0.0319657608811663</v>
      </c>
      <c r="K7" s="69" t="s">
        <v>238</v>
      </c>
      <c r="L7" s="81" t="s">
        <v>239</v>
      </c>
      <c r="M7" s="81" t="s">
        <v>243</v>
      </c>
    </row>
    <row r="8" ht="39.75" customHeight="1">
      <c r="A8" s="76" t="s">
        <v>246</v>
      </c>
      <c r="B8" s="78">
        <v>-0.0572867086866182</v>
      </c>
      <c r="C8" s="78">
        <v>0.0905041661866912</v>
      </c>
      <c r="D8" s="78">
        <v>0.365006625626919</v>
      </c>
      <c r="E8" s="78">
        <v>0.708274647887324</v>
      </c>
      <c r="F8" s="78">
        <v>0.0780489713920451</v>
      </c>
      <c r="G8" s="78">
        <v>0.0650482017297833</v>
      </c>
      <c r="H8" s="78">
        <v>-0.0014740989081232</v>
      </c>
      <c r="I8" s="78">
        <v>0.147191742280369</v>
      </c>
      <c r="J8" s="78">
        <v>-0.0314391558892602</v>
      </c>
      <c r="K8" s="69" t="s">
        <v>238</v>
      </c>
      <c r="L8" s="81" t="s">
        <v>239</v>
      </c>
      <c r="M8" s="81" t="s">
        <v>243</v>
      </c>
    </row>
    <row r="9" ht="39.75" customHeight="1">
      <c r="A9" s="76" t="s">
        <v>247</v>
      </c>
      <c r="B9" s="78">
        <v>-0.0107989331901974</v>
      </c>
      <c r="C9" s="78">
        <v>0.128744131455399</v>
      </c>
      <c r="D9" s="78">
        <v>0.371806176364857</v>
      </c>
      <c r="E9" s="78">
        <v>0.738803564558226</v>
      </c>
      <c r="F9" s="78">
        <v>0.0802229979413607</v>
      </c>
      <c r="G9" s="78">
        <v>0.0667382715102229</v>
      </c>
      <c r="H9" s="78">
        <v>6.87917961307811E-4</v>
      </c>
      <c r="I9" s="78">
        <v>0.2409118516419</v>
      </c>
      <c r="J9" s="78">
        <v>-0.0255777847342774</v>
      </c>
      <c r="K9" s="69" t="s">
        <v>238</v>
      </c>
      <c r="L9" s="81" t="s">
        <v>239</v>
      </c>
      <c r="M9" s="81" t="s">
        <v>243</v>
      </c>
    </row>
    <row r="10" ht="39.75" customHeight="1">
      <c r="A10" s="76" t="s">
        <v>220</v>
      </c>
      <c r="B10" s="78">
        <v>0.041161069774067</v>
      </c>
      <c r="C10" s="78">
        <v>0.135064313864135</v>
      </c>
      <c r="D10" s="78">
        <v>0.367706504496699</v>
      </c>
      <c r="E10" s="78">
        <v>0.754081240037377</v>
      </c>
      <c r="F10" s="78">
        <v>0.0830207539870387</v>
      </c>
      <c r="G10" s="78">
        <v>0.066322889458647</v>
      </c>
      <c r="H10" s="78">
        <v>-7.71336093483051E-4</v>
      </c>
      <c r="I10" s="78">
        <v>0.15610002335586</v>
      </c>
      <c r="J10" s="78">
        <v>-0.0261810346506058</v>
      </c>
      <c r="K10" s="69" t="s">
        <v>238</v>
      </c>
      <c r="L10" s="81" t="s">
        <v>239</v>
      </c>
      <c r="M10" s="81" t="s">
        <v>243</v>
      </c>
    </row>
    <row r="11" ht="48.0" customHeight="1">
      <c r="A11" s="86" t="s">
        <v>248</v>
      </c>
      <c r="B11" s="87">
        <f>'C2 Annual IS Forecast'!G7/'C2 Annual IS Forecast'!B7-1</f>
        <v>0.1517575398</v>
      </c>
      <c r="C11" s="87">
        <f>'C2 Annual IS Forecast'!G8/'C2 Annual IS Forecast'!B8-1</f>
        <v>0.135308452</v>
      </c>
      <c r="D11" s="87">
        <f>'C2 Annual IS Forecast'!G15</f>
        <v>0.3910170781</v>
      </c>
      <c r="E11" s="87">
        <f>'C2 Annual IS Forecast'!G16</f>
        <v>0.7607158996</v>
      </c>
      <c r="F11" s="87">
        <f>'C2 Annual IS Forecast'!G19/'C2 Annual IS Forecast'!G9</f>
        <v>0.0960619608</v>
      </c>
      <c r="G11" s="87">
        <f>'C2 Annual IS Forecast'!G20/'C2 Annual IS Forecast'!G9</f>
        <v>0.06225567724</v>
      </c>
      <c r="H11" s="87">
        <f>'C2 Annual IS Forecast'!G26/'C2 Annual IS Forecast'!G9</f>
        <v>0.002136031624</v>
      </c>
      <c r="I11" s="87">
        <f>'C2 Annual IS Forecast'!G28</f>
        <v>0.1733958771</v>
      </c>
      <c r="J11" s="87">
        <f>'C2 Annual IS Forecast'!G32/'C2 Annual IS Forecast'!B32-1</f>
        <v>-0.01862566396</v>
      </c>
      <c r="K11" s="89" t="s">
        <v>268</v>
      </c>
      <c r="L11" s="89" t="s">
        <v>269</v>
      </c>
      <c r="M11" s="90" t="s">
        <v>270</v>
      </c>
    </row>
    <row r="12" ht="39.75" customHeight="1">
      <c r="A12" s="91" t="s">
        <v>228</v>
      </c>
      <c r="B12" s="84">
        <f>'C1 Revenue Build'!C23/'C1 Revenue Build'!B23-1</f>
        <v>0.07083104299</v>
      </c>
      <c r="C12" s="84">
        <f>'C1 Revenue Build'!C22/'C1 Revenue Build'!B22-1</f>
        <v>0.12</v>
      </c>
      <c r="D12" s="92">
        <v>0.394</v>
      </c>
      <c r="E12" s="92">
        <v>0.761</v>
      </c>
      <c r="F12" s="92">
        <v>0.096</v>
      </c>
      <c r="G12" s="92">
        <v>0.062</v>
      </c>
      <c r="H12" s="92">
        <v>0.002</v>
      </c>
      <c r="I12" s="92">
        <v>0.165</v>
      </c>
      <c r="J12" s="92">
        <v>-0.02</v>
      </c>
      <c r="K12" s="93" t="s">
        <v>271</v>
      </c>
      <c r="L12" s="94" t="s">
        <v>272</v>
      </c>
      <c r="M12" s="94" t="s">
        <v>273</v>
      </c>
    </row>
    <row r="13" ht="39.75" customHeight="1">
      <c r="A13" s="95" t="s">
        <v>230</v>
      </c>
      <c r="B13" s="84">
        <f>'C1 Revenue Build'!D23/'C1 Revenue Build'!C23-1</f>
        <v>0.05874461591</v>
      </c>
      <c r="C13" s="84">
        <f>'C1 Revenue Build'!D22/'C1 Revenue Build'!C22-1</f>
        <v>0.11</v>
      </c>
      <c r="D13" s="96">
        <v>0.396</v>
      </c>
      <c r="E13" s="96">
        <v>0.762</v>
      </c>
      <c r="F13" s="96">
        <v>0.095</v>
      </c>
      <c r="G13" s="96">
        <v>0.061</v>
      </c>
      <c r="H13" s="96">
        <v>0.002</v>
      </c>
      <c r="I13" s="96">
        <v>0.165</v>
      </c>
      <c r="J13" s="96">
        <v>-0.02</v>
      </c>
      <c r="K13" s="97" t="s">
        <v>271</v>
      </c>
      <c r="L13" s="98" t="s">
        <v>274</v>
      </c>
      <c r="M13" s="98" t="s">
        <v>273</v>
      </c>
    </row>
    <row r="14" ht="39.75" customHeight="1">
      <c r="A14" s="95" t="s">
        <v>232</v>
      </c>
      <c r="B14" s="84">
        <f>'C1 Revenue Build'!E23/'C1 Revenue Build'!D23-1</f>
        <v>0.05061340173</v>
      </c>
      <c r="C14" s="84">
        <f>'C1 Revenue Build'!E22/'C1 Revenue Build'!D22-1</f>
        <v>0.1</v>
      </c>
      <c r="D14" s="96">
        <v>0.398</v>
      </c>
      <c r="E14" s="96">
        <v>0.763</v>
      </c>
      <c r="F14" s="96">
        <v>0.094</v>
      </c>
      <c r="G14" s="96">
        <v>0.06</v>
      </c>
      <c r="H14" s="96">
        <v>0.002</v>
      </c>
      <c r="I14" s="96">
        <v>0.165</v>
      </c>
      <c r="J14" s="96">
        <v>-0.02</v>
      </c>
      <c r="K14" s="97" t="s">
        <v>271</v>
      </c>
      <c r="L14" s="98" t="s">
        <v>275</v>
      </c>
      <c r="M14" s="98" t="s">
        <v>273</v>
      </c>
    </row>
    <row r="15" ht="39.75" customHeight="1">
      <c r="A15" s="95" t="s">
        <v>234</v>
      </c>
      <c r="B15" s="84">
        <f>'C1 Revenue Build'!F23/'C1 Revenue Build'!E23-1</f>
        <v>0.04567086329</v>
      </c>
      <c r="C15" s="84">
        <f>'C1 Revenue Build'!F22/'C1 Revenue Build'!E22-1</f>
        <v>0.09</v>
      </c>
      <c r="D15" s="96">
        <v>0.4</v>
      </c>
      <c r="E15" s="96">
        <v>0.764</v>
      </c>
      <c r="F15" s="96">
        <v>0.093</v>
      </c>
      <c r="G15" s="96">
        <v>0.059</v>
      </c>
      <c r="H15" s="96">
        <v>0.002</v>
      </c>
      <c r="I15" s="96">
        <v>0.165</v>
      </c>
      <c r="J15" s="96">
        <v>-0.02</v>
      </c>
      <c r="K15" s="97" t="s">
        <v>271</v>
      </c>
      <c r="L15" s="98" t="s">
        <v>276</v>
      </c>
      <c r="M15" s="98" t="s">
        <v>273</v>
      </c>
    </row>
    <row r="16" ht="39.75" customHeight="1">
      <c r="A16" s="95" t="s">
        <v>235</v>
      </c>
      <c r="B16" s="84">
        <f>'C1 Revenue Build'!G23/'C1 Revenue Build'!F23-1</f>
        <v>0.0415771064</v>
      </c>
      <c r="C16" s="84">
        <f>'C1 Revenue Build'!G22/'C1 Revenue Build'!F22-1</f>
        <v>0.08</v>
      </c>
      <c r="D16" s="96">
        <v>0.402</v>
      </c>
      <c r="E16" s="96">
        <v>0.765</v>
      </c>
      <c r="F16" s="96">
        <v>0.092</v>
      </c>
      <c r="G16" s="96">
        <v>0.058</v>
      </c>
      <c r="H16" s="96">
        <v>0.002</v>
      </c>
      <c r="I16" s="96">
        <v>0.165</v>
      </c>
      <c r="J16" s="96">
        <v>-0.02</v>
      </c>
      <c r="K16" s="97" t="s">
        <v>271</v>
      </c>
      <c r="L16" s="98" t="s">
        <v>277</v>
      </c>
      <c r="M16" s="98" t="s">
        <v>273</v>
      </c>
    </row>
    <row r="17" ht="39.75" customHeight="1">
      <c r="A17" s="102" t="s">
        <v>236</v>
      </c>
      <c r="B17" s="84">
        <f>'C1 Revenue Build'!H23/'C1 Revenue Build'!G23-1</f>
        <v>0.03661264444</v>
      </c>
      <c r="C17" s="84">
        <f>'C1 Revenue Build'!H22/'C1 Revenue Build'!G22-1</f>
        <v>0.07</v>
      </c>
      <c r="D17" s="103">
        <v>0.404</v>
      </c>
      <c r="E17" s="103">
        <v>0.765</v>
      </c>
      <c r="F17" s="103">
        <v>0.091</v>
      </c>
      <c r="G17" s="103">
        <v>0.057</v>
      </c>
      <c r="H17" s="103">
        <v>0.002</v>
      </c>
      <c r="I17" s="103">
        <v>0.165</v>
      </c>
      <c r="J17" s="103">
        <v>-0.02</v>
      </c>
      <c r="K17" s="104" t="s">
        <v>271</v>
      </c>
      <c r="L17" s="106" t="s">
        <v>281</v>
      </c>
      <c r="M17" s="106" t="s">
        <v>273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</row>
    <row r="19" ht="14.25" customHeight="1">
      <c r="A19" s="107" t="s">
        <v>283</v>
      </c>
      <c r="B19" s="108"/>
      <c r="C19" s="108"/>
      <c r="D19" s="108"/>
      <c r="E19" s="108"/>
      <c r="F19" s="108"/>
      <c r="G19" s="108"/>
      <c r="H19" s="108"/>
      <c r="I19" s="108"/>
      <c r="J19" s="111"/>
      <c r="K19" s="107" t="s">
        <v>284</v>
      </c>
      <c r="L19" s="108"/>
      <c r="M19" s="111"/>
    </row>
    <row r="20" ht="21.75" customHeight="1">
      <c r="A20" s="69" t="s">
        <v>285</v>
      </c>
      <c r="B20" s="69"/>
      <c r="C20" s="69"/>
      <c r="D20" s="69" t="s">
        <v>86</v>
      </c>
      <c r="E20" s="69"/>
      <c r="F20" s="69"/>
      <c r="G20" s="69"/>
      <c r="H20" s="69"/>
      <c r="I20" s="69"/>
      <c r="J20" s="69"/>
      <c r="K20" s="74" t="s">
        <v>12</v>
      </c>
      <c r="L20" s="74" t="s">
        <v>286</v>
      </c>
      <c r="M20" s="74" t="s">
        <v>287</v>
      </c>
    </row>
    <row r="21" ht="48.0" customHeight="1">
      <c r="A21" s="69" t="s">
        <v>288</v>
      </c>
      <c r="B21" s="69"/>
      <c r="C21" s="69"/>
      <c r="D21" s="69" t="s">
        <v>95</v>
      </c>
      <c r="E21" s="69"/>
      <c r="F21" s="69"/>
      <c r="G21" s="69"/>
      <c r="H21" s="69"/>
      <c r="I21" s="69"/>
      <c r="J21" s="69"/>
      <c r="K21" s="91" t="s">
        <v>289</v>
      </c>
      <c r="L21" s="94" t="s">
        <v>290</v>
      </c>
      <c r="M21" s="94" t="s">
        <v>291</v>
      </c>
    </row>
    <row r="22" ht="48.0" customHeight="1">
      <c r="A22" s="69" t="s">
        <v>292</v>
      </c>
      <c r="B22" s="69"/>
      <c r="C22" s="69"/>
      <c r="D22" s="69" t="s">
        <v>293</v>
      </c>
      <c r="E22" s="69"/>
      <c r="F22" s="69"/>
      <c r="G22" s="69"/>
      <c r="H22" s="69"/>
      <c r="I22" s="69"/>
      <c r="J22" s="69"/>
      <c r="K22" s="95" t="s">
        <v>35</v>
      </c>
      <c r="L22" s="98" t="s">
        <v>294</v>
      </c>
      <c r="M22" s="98" t="s">
        <v>295</v>
      </c>
    </row>
    <row r="23" ht="48.0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95" t="s">
        <v>296</v>
      </c>
      <c r="L23" s="98" t="s">
        <v>297</v>
      </c>
      <c r="M23" s="98" t="s">
        <v>298</v>
      </c>
    </row>
    <row r="24" ht="48.0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95" t="s">
        <v>87</v>
      </c>
      <c r="L24" s="98" t="s">
        <v>299</v>
      </c>
      <c r="M24" s="98" t="s">
        <v>300</v>
      </c>
    </row>
    <row r="25" ht="48.0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95" t="s">
        <v>301</v>
      </c>
      <c r="L25" s="98" t="s">
        <v>302</v>
      </c>
      <c r="M25" s="98" t="s">
        <v>303</v>
      </c>
    </row>
    <row r="26" ht="48.0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102" t="s">
        <v>304</v>
      </c>
      <c r="L26" s="106" t="s">
        <v>305</v>
      </c>
      <c r="M26" s="106" t="s">
        <v>306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1.0"/>
    <col customWidth="1" min="2" max="8" width="15.0"/>
    <col customWidth="1" min="9" max="9" width="47.0"/>
    <col customWidth="1" min="10" max="26" width="9.0"/>
  </cols>
  <sheetData>
    <row r="1" ht="14.25" customHeight="1">
      <c r="A1" s="69"/>
      <c r="B1" s="69"/>
      <c r="C1" s="69"/>
      <c r="D1" s="69"/>
      <c r="E1" s="69"/>
      <c r="F1" s="69"/>
      <c r="G1" s="69"/>
      <c r="H1" s="69"/>
      <c r="I1" s="69"/>
    </row>
    <row r="2" ht="27.75" customHeight="1">
      <c r="A2" s="71" t="s">
        <v>278</v>
      </c>
      <c r="B2" s="69"/>
      <c r="C2" s="69"/>
      <c r="D2" s="69"/>
      <c r="E2" s="69"/>
      <c r="F2" s="69"/>
      <c r="G2" s="69"/>
      <c r="H2" s="69"/>
      <c r="I2" s="69"/>
    </row>
    <row r="3" ht="14.25" customHeight="1">
      <c r="A3" s="72" t="s">
        <v>279</v>
      </c>
      <c r="B3" s="69"/>
      <c r="C3" s="69"/>
      <c r="D3" s="69"/>
      <c r="E3" s="69"/>
      <c r="F3" s="69"/>
      <c r="G3" s="69"/>
      <c r="H3" s="69"/>
      <c r="I3" s="69"/>
    </row>
    <row r="4" ht="14.25" customHeight="1">
      <c r="A4" s="69"/>
      <c r="B4" s="69"/>
      <c r="C4" s="69"/>
      <c r="D4" s="69"/>
      <c r="E4" s="69"/>
      <c r="F4" s="69"/>
      <c r="G4" s="69"/>
      <c r="H4" s="69"/>
      <c r="I4" s="69"/>
    </row>
    <row r="5" ht="36.0" customHeight="1">
      <c r="A5" s="74" t="s">
        <v>280</v>
      </c>
      <c r="B5" s="74" t="s">
        <v>248</v>
      </c>
      <c r="C5" s="74" t="s">
        <v>228</v>
      </c>
      <c r="D5" s="74" t="s">
        <v>230</v>
      </c>
      <c r="E5" s="74" t="s">
        <v>232</v>
      </c>
      <c r="F5" s="74" t="s">
        <v>234</v>
      </c>
      <c r="G5" s="74" t="s">
        <v>235</v>
      </c>
      <c r="H5" s="74" t="s">
        <v>236</v>
      </c>
      <c r="I5" s="74" t="s">
        <v>282</v>
      </c>
    </row>
    <row r="6" ht="24.0" customHeight="1">
      <c r="A6" s="110" t="s">
        <v>25</v>
      </c>
      <c r="B6" s="112">
        <f>'C2 Annual IS Forecast'!G9</f>
        <v>477521.02</v>
      </c>
      <c r="C6" s="112">
        <f>'C2 Annual IS Forecast'!H9</f>
        <v>517437.7424</v>
      </c>
      <c r="D6" s="112">
        <f>'C2 Annual IS Forecast'!I9</f>
        <v>554948.6383</v>
      </c>
      <c r="E6" s="112">
        <f>'C2 Annual IS Forecast'!J9</f>
        <v>590645.3361</v>
      </c>
      <c r="F6" s="112">
        <f>'C2 Annual IS Forecast'!K9</f>
        <v>625133.2554</v>
      </c>
      <c r="G6" s="112">
        <f>'C2 Annual IS Forecast'!L9</f>
        <v>658222.2208</v>
      </c>
      <c r="H6" s="112">
        <f>'C2 Annual IS Forecast'!M9</f>
        <v>688982.4152</v>
      </c>
      <c r="I6" s="81" t="s">
        <v>307</v>
      </c>
    </row>
    <row r="7" ht="24.0" customHeight="1">
      <c r="A7" s="110" t="s">
        <v>34</v>
      </c>
      <c r="B7" s="112">
        <f>'C2 Annual IS Forecast'!G12</f>
        <v>244986.1105</v>
      </c>
      <c r="C7" s="112">
        <f>'C2 Annual IS Forecast'!H12</f>
        <v>262627.9068</v>
      </c>
      <c r="D7" s="112">
        <f>'C2 Annual IS Forecast'!I12</f>
        <v>278800.3496</v>
      </c>
      <c r="E7" s="112">
        <f>'C2 Annual IS Forecast'!J12</f>
        <v>293710.4755</v>
      </c>
      <c r="F7" s="112">
        <f>'C2 Annual IS Forecast'!K12</f>
        <v>307839.4416</v>
      </c>
      <c r="G7" s="112">
        <f>'C2 Annual IS Forecast'!L12</f>
        <v>321196.6403</v>
      </c>
      <c r="H7" s="112">
        <f>'C2 Annual IS Forecast'!M12</f>
        <v>333570.7947</v>
      </c>
      <c r="I7" s="81" t="s">
        <v>317</v>
      </c>
    </row>
    <row r="8" ht="24.0" customHeight="1">
      <c r="A8" s="97" t="s">
        <v>66</v>
      </c>
      <c r="B8" s="115">
        <f>'C2 Annual IS Forecast'!G13</f>
        <v>232534.9095</v>
      </c>
      <c r="C8" s="115">
        <f>'C2 Annual IS Forecast'!H13</f>
        <v>254809.8356</v>
      </c>
      <c r="D8" s="115">
        <f>'C2 Annual IS Forecast'!I13</f>
        <v>276148.2888</v>
      </c>
      <c r="E8" s="115">
        <f>'C2 Annual IS Forecast'!J13</f>
        <v>296934.8605</v>
      </c>
      <c r="F8" s="115">
        <f>'C2 Annual IS Forecast'!K13</f>
        <v>317293.8138</v>
      </c>
      <c r="G8" s="115">
        <f>'C2 Annual IS Forecast'!L13</f>
        <v>337025.5805</v>
      </c>
      <c r="H8" s="115">
        <f>'C2 Annual IS Forecast'!M13</f>
        <v>355411.6205</v>
      </c>
      <c r="I8" s="81" t="s">
        <v>322</v>
      </c>
    </row>
    <row r="9" ht="24.0" customHeight="1">
      <c r="A9" s="97" t="s">
        <v>39</v>
      </c>
      <c r="B9" s="115">
        <f>'C2 Annual IS Forecast'!G22</f>
        <v>156934.9095</v>
      </c>
      <c r="C9" s="115">
        <f>'C2 Annual IS Forecast'!H22</f>
        <v>173054.6723</v>
      </c>
      <c r="D9" s="115">
        <f>'C2 Annual IS Forecast'!I22</f>
        <v>189576.3012</v>
      </c>
      <c r="E9" s="115">
        <f>'C2 Annual IS Forecast'!J22</f>
        <v>205975.4788</v>
      </c>
      <c r="F9" s="115">
        <f>'C2 Annual IS Forecast'!K22</f>
        <v>222273.5589</v>
      </c>
      <c r="G9" s="115">
        <f>'C2 Annual IS Forecast'!L22</f>
        <v>238292.2474</v>
      </c>
      <c r="H9" s="115">
        <f>'C2 Annual IS Forecast'!M22</f>
        <v>253442.223</v>
      </c>
      <c r="I9" s="81" t="s">
        <v>324</v>
      </c>
    </row>
    <row r="10" ht="24.0" customHeight="1">
      <c r="A10" s="110" t="s">
        <v>41</v>
      </c>
      <c r="B10" s="112">
        <f>'C2 Annual IS Forecast'!G30</f>
        <v>130566.1794</v>
      </c>
      <c r="C10" s="112">
        <f>'C2 Annual IS Forecast'!H30</f>
        <v>145364.7724</v>
      </c>
      <c r="D10" s="112">
        <f>'C2 Annual IS Forecast'!I30</f>
        <v>159222.9757</v>
      </c>
      <c r="E10" s="112">
        <f>'C2 Annual IS Forecast'!J30</f>
        <v>172975.9025</v>
      </c>
      <c r="F10" s="112">
        <f>'C2 Annual IS Forecast'!K30</f>
        <v>186642.3943</v>
      </c>
      <c r="G10" s="112">
        <f>'C2 Annual IS Forecast'!L30</f>
        <v>200073.2577</v>
      </c>
      <c r="H10" s="112">
        <f>'C2 Annual IS Forecast'!M30</f>
        <v>212774.8569</v>
      </c>
      <c r="I10" s="81" t="s">
        <v>326</v>
      </c>
    </row>
    <row r="11" ht="24.0" customHeight="1">
      <c r="A11" s="97" t="s">
        <v>74</v>
      </c>
      <c r="B11" s="117">
        <f>'C2 Annual IS Forecast'!G32</f>
        <v>14725.2275</v>
      </c>
      <c r="C11" s="117">
        <f>'C2 Annual IS Forecast'!H32</f>
        <v>14430.72295</v>
      </c>
      <c r="D11" s="117">
        <f>'C2 Annual IS Forecast'!I32</f>
        <v>14142.10849</v>
      </c>
      <c r="E11" s="117">
        <f>'C2 Annual IS Forecast'!J32</f>
        <v>13859.26632</v>
      </c>
      <c r="F11" s="117">
        <f>'C2 Annual IS Forecast'!K32</f>
        <v>13582.08099</v>
      </c>
      <c r="G11" s="117">
        <f>'C2 Annual IS Forecast'!L32</f>
        <v>13310.43937</v>
      </c>
      <c r="H11" s="117">
        <f>'C2 Annual IS Forecast'!M32</f>
        <v>13044.23059</v>
      </c>
      <c r="I11" s="81" t="s">
        <v>328</v>
      </c>
    </row>
    <row r="12" ht="24.0" customHeight="1">
      <c r="A12" s="110" t="s">
        <v>44</v>
      </c>
      <c r="B12" s="123">
        <f>'C2 Annual IS Forecast'!G33</f>
        <v>8.866836144</v>
      </c>
      <c r="C12" s="123">
        <f>'C2 Annual IS Forecast'!H33</f>
        <v>10.07328413</v>
      </c>
      <c r="D12" s="123">
        <f>'C2 Annual IS Forecast'!I33</f>
        <v>11.25878619</v>
      </c>
      <c r="E12" s="123">
        <f>'C2 Annual IS Forecast'!J33</f>
        <v>12.48088452</v>
      </c>
      <c r="F12" s="123">
        <f>'C2 Annual IS Forecast'!K33</f>
        <v>13.74181131</v>
      </c>
      <c r="G12" s="123">
        <f>'C2 Annual IS Forecast'!L33</f>
        <v>15.03130378</v>
      </c>
      <c r="H12" s="123">
        <f>'C2 Annual IS Forecast'!M33</f>
        <v>16.31179819</v>
      </c>
      <c r="I12" s="81" t="s">
        <v>332</v>
      </c>
    </row>
    <row r="13" ht="24.0" customHeight="1">
      <c r="A13" s="97" t="s">
        <v>21</v>
      </c>
      <c r="B13" s="127">
        <f>'C2 Annual IS Forecast'!G34</f>
        <v>0.1474429848</v>
      </c>
      <c r="C13" s="127">
        <f>'C2 Annual IS Forecast'!H34</f>
        <v>0.08359155038</v>
      </c>
      <c r="D13" s="127">
        <f>'C2 Annual IS Forecast'!I34</f>
        <v>0.07249354438</v>
      </c>
      <c r="E13" s="127">
        <f>'C2 Annual IS Forecast'!J34</f>
        <v>0.06432432705</v>
      </c>
      <c r="F13" s="127">
        <f>'C2 Annual IS Forecast'!K34</f>
        <v>0.05839023392</v>
      </c>
      <c r="G13" s="127">
        <f>'C2 Annual IS Forecast'!L34</f>
        <v>0.05293105937</v>
      </c>
      <c r="H13" s="127">
        <f>'C2 Annual IS Forecast'!M34</f>
        <v>0.04673223319</v>
      </c>
      <c r="I13" s="81" t="s">
        <v>335</v>
      </c>
    </row>
    <row r="14" ht="24.0" customHeight="1">
      <c r="A14" s="97" t="s">
        <v>336</v>
      </c>
      <c r="B14" s="127">
        <f>'C2 Annual IS Forecast'!G12/'C2 Annual IS Forecast'!B12-1</f>
        <v>0.1087351127</v>
      </c>
      <c r="C14" s="127">
        <f>'C2 Annual IS Forecast'!H12/'C2 Annual IS Forecast'!G12-1</f>
        <v>0.07201141419</v>
      </c>
      <c r="D14" s="127">
        <f>'C2 Annual IS Forecast'!I12/'C2 Annual IS Forecast'!H12-1</f>
        <v>0.0615793005</v>
      </c>
      <c r="E14" s="127">
        <f>'C2 Annual IS Forecast'!J12/'C2 Annual IS Forecast'!I12-1</f>
        <v>0.05347958131</v>
      </c>
      <c r="F14" s="127">
        <f>'C2 Annual IS Forecast'!K12/'C2 Annual IS Forecast'!J12-1</f>
        <v>0.0481050806</v>
      </c>
      <c r="G14" s="127">
        <f>'C2 Annual IS Forecast'!L12/'C2 Annual IS Forecast'!K12-1</f>
        <v>0.0433901473</v>
      </c>
      <c r="H14" s="127">
        <f>'C2 Annual IS Forecast'!M12/'C2 Annual IS Forecast'!L12-1</f>
        <v>0.03852516739</v>
      </c>
      <c r="I14" s="81" t="s">
        <v>341</v>
      </c>
    </row>
    <row r="15" ht="24.0" customHeight="1">
      <c r="A15" s="104" t="s">
        <v>342</v>
      </c>
      <c r="B15" s="132">
        <f>'C2 Annual IS Forecast'!G31</f>
        <v>0.2734249886</v>
      </c>
      <c r="C15" s="132">
        <f>'C2 Annual IS Forecast'!H31</f>
        <v>0.2809319083</v>
      </c>
      <c r="D15" s="132">
        <f>'C2 Annual IS Forecast'!I31</f>
        <v>0.2869147967</v>
      </c>
      <c r="E15" s="132">
        <f>'C2 Annual IS Forecast'!J31</f>
        <v>0.2928591693</v>
      </c>
      <c r="F15" s="132">
        <f>'C2 Annual IS Forecast'!K31</f>
        <v>0.2985641743</v>
      </c>
      <c r="G15" s="132">
        <f>'C2 Annual IS Forecast'!L31</f>
        <v>0.3039600477</v>
      </c>
      <c r="H15" s="132">
        <f>'C2 Annual IS Forecast'!M31</f>
        <v>0.3088248004</v>
      </c>
      <c r="I15" s="81" t="s">
        <v>345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  <c r="I16" s="81"/>
    </row>
    <row r="17" ht="33.75" customHeight="1">
      <c r="A17" s="107" t="s">
        <v>346</v>
      </c>
      <c r="B17" s="108"/>
      <c r="C17" s="108"/>
      <c r="D17" s="108"/>
      <c r="E17" s="108"/>
      <c r="F17" s="108"/>
      <c r="G17" s="108"/>
      <c r="H17" s="108"/>
      <c r="I17" s="134" t="s">
        <v>349</v>
      </c>
    </row>
    <row r="18" ht="49.5" customHeight="1">
      <c r="A18" s="69" t="s">
        <v>350</v>
      </c>
      <c r="B18" s="69"/>
      <c r="C18" s="69"/>
      <c r="D18" s="69"/>
      <c r="E18" s="69"/>
      <c r="F18" s="69"/>
      <c r="G18" s="69"/>
      <c r="H18" s="69"/>
      <c r="I18" s="81" t="s">
        <v>351</v>
      </c>
    </row>
    <row r="19" ht="49.5" customHeight="1">
      <c r="A19" s="69" t="s">
        <v>352</v>
      </c>
      <c r="B19" s="69"/>
      <c r="C19" s="69"/>
      <c r="D19" s="69"/>
      <c r="E19" s="69"/>
      <c r="F19" s="69"/>
      <c r="G19" s="69"/>
      <c r="H19" s="69"/>
      <c r="I19" s="81" t="s">
        <v>354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A13A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0.0"/>
    <col customWidth="1" min="2" max="8" width="18.0"/>
    <col customWidth="1" min="9" max="9" width="9.0"/>
    <col customWidth="1" min="10" max="10" width="42.0"/>
    <col customWidth="1" min="11" max="11" width="91.0"/>
    <col customWidth="1" min="12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</row>
    <row r="2" ht="31.5" customHeight="1">
      <c r="A2" s="133" t="s">
        <v>347</v>
      </c>
      <c r="B2" s="133"/>
      <c r="C2" s="133"/>
      <c r="D2" s="133"/>
      <c r="E2" s="133"/>
      <c r="F2" s="133"/>
      <c r="G2" s="133"/>
      <c r="H2" s="133"/>
    </row>
    <row r="3" ht="14.25" customHeight="1">
      <c r="A3" s="135" t="s">
        <v>353</v>
      </c>
      <c r="B3" s="135"/>
      <c r="C3" s="135"/>
      <c r="D3" s="135"/>
      <c r="E3" s="135"/>
      <c r="F3" s="135"/>
      <c r="G3" s="135"/>
      <c r="H3" s="135"/>
    </row>
    <row r="4" ht="14.25" customHeight="1">
      <c r="A4" s="1"/>
      <c r="B4" s="1"/>
      <c r="C4" s="1"/>
      <c r="D4" s="1"/>
      <c r="E4" s="1"/>
      <c r="F4" s="1"/>
      <c r="G4" s="1"/>
      <c r="H4" s="1"/>
    </row>
    <row r="5" ht="22.5" customHeight="1">
      <c r="A5" s="6" t="s">
        <v>12</v>
      </c>
      <c r="B5" s="6" t="s">
        <v>355</v>
      </c>
      <c r="C5" s="6" t="s">
        <v>228</v>
      </c>
      <c r="D5" s="6" t="s">
        <v>230</v>
      </c>
      <c r="E5" s="6" t="s">
        <v>232</v>
      </c>
      <c r="F5" s="6" t="s">
        <v>234</v>
      </c>
      <c r="G5" s="6" t="s">
        <v>235</v>
      </c>
      <c r="H5" s="6" t="s">
        <v>236</v>
      </c>
    </row>
    <row r="6" ht="14.25" customHeight="1">
      <c r="A6" s="1" t="s">
        <v>25</v>
      </c>
      <c r="B6" s="138">
        <f>'E IS Outputs for BS'!B6</f>
        <v>477521.02</v>
      </c>
      <c r="C6" s="138">
        <f>'E IS Outputs for BS'!C6</f>
        <v>517437.7424</v>
      </c>
      <c r="D6" s="138">
        <f>'E IS Outputs for BS'!D6</f>
        <v>554948.6383</v>
      </c>
      <c r="E6" s="138">
        <f>'E IS Outputs for BS'!E6</f>
        <v>590645.3361</v>
      </c>
      <c r="F6" s="138">
        <f>'E IS Outputs for BS'!F6</f>
        <v>625133.2554</v>
      </c>
      <c r="G6" s="138">
        <f>'E IS Outputs for BS'!G6</f>
        <v>658222.2208</v>
      </c>
      <c r="H6" s="138">
        <f>'E IS Outputs for BS'!H6</f>
        <v>688982.4152</v>
      </c>
    </row>
    <row r="7" ht="14.25" customHeight="1">
      <c r="A7" s="1" t="s">
        <v>34</v>
      </c>
      <c r="B7" s="138">
        <f>'E IS Outputs for BS'!B7</f>
        <v>244986.1105</v>
      </c>
      <c r="C7" s="138">
        <f>'E IS Outputs for BS'!C7</f>
        <v>262627.9068</v>
      </c>
      <c r="D7" s="138">
        <f>'E IS Outputs for BS'!D7</f>
        <v>278800.3496</v>
      </c>
      <c r="E7" s="138">
        <f>'E IS Outputs for BS'!E7</f>
        <v>293710.4755</v>
      </c>
      <c r="F7" s="138">
        <f>'E IS Outputs for BS'!F7</f>
        <v>307839.4416</v>
      </c>
      <c r="G7" s="138">
        <f>'E IS Outputs for BS'!G7</f>
        <v>321196.6403</v>
      </c>
      <c r="H7" s="138">
        <f>'E IS Outputs for BS'!H7</f>
        <v>333570.7947</v>
      </c>
    </row>
    <row r="8" ht="14.25" customHeight="1">
      <c r="A8" s="1" t="s">
        <v>41</v>
      </c>
      <c r="B8" s="138">
        <f>'E IS Outputs for BS'!B10</f>
        <v>130566.1794</v>
      </c>
      <c r="C8" s="138">
        <f>'E IS Outputs for BS'!C10</f>
        <v>145364.7724</v>
      </c>
      <c r="D8" s="138">
        <f>'E IS Outputs for BS'!D10</f>
        <v>159222.9757</v>
      </c>
      <c r="E8" s="138">
        <f>'E IS Outputs for BS'!E10</f>
        <v>172975.9025</v>
      </c>
      <c r="F8" s="138">
        <f>'E IS Outputs for BS'!F10</f>
        <v>186642.3943</v>
      </c>
      <c r="G8" s="138">
        <f>'E IS Outputs for BS'!G10</f>
        <v>200073.2577</v>
      </c>
      <c r="H8" s="138">
        <f>'E IS Outputs for BS'!H10</f>
        <v>212774.8569</v>
      </c>
    </row>
    <row r="9" ht="14.25" customHeight="1">
      <c r="A9" s="1"/>
      <c r="B9" s="141"/>
      <c r="C9" s="141"/>
      <c r="D9" s="141"/>
      <c r="E9" s="141"/>
      <c r="F9" s="141"/>
      <c r="G9" s="141"/>
      <c r="H9" s="141"/>
    </row>
    <row r="10" ht="22.5" customHeight="1">
      <c r="A10" s="9" t="s">
        <v>356</v>
      </c>
      <c r="B10" s="142"/>
      <c r="C10" s="142"/>
      <c r="D10" s="142"/>
      <c r="E10" s="142"/>
      <c r="F10" s="142"/>
      <c r="G10" s="142"/>
      <c r="H10" s="142"/>
    </row>
    <row r="11" ht="14.25" customHeight="1">
      <c r="A11" s="1" t="s">
        <v>358</v>
      </c>
      <c r="B11" s="143">
        <f>'B Balance Sheet'!D7/B6</f>
        <v>0.0612098319</v>
      </c>
      <c r="C11" s="144">
        <f t="shared" ref="C11:H11" si="1">$B11</f>
        <v>0.0612098319</v>
      </c>
      <c r="D11" s="144">
        <f t="shared" si="1"/>
        <v>0.0612098319</v>
      </c>
      <c r="E11" s="144">
        <f t="shared" si="1"/>
        <v>0.0612098319</v>
      </c>
      <c r="F11" s="144">
        <f t="shared" si="1"/>
        <v>0.0612098319</v>
      </c>
      <c r="G11" s="144">
        <f t="shared" si="1"/>
        <v>0.0612098319</v>
      </c>
      <c r="H11" s="144">
        <f t="shared" si="1"/>
        <v>0.0612098319</v>
      </c>
    </row>
    <row r="12" ht="14.25" customHeight="1">
      <c r="A12" s="1" t="s">
        <v>360</v>
      </c>
      <c r="B12" s="143">
        <f>'B Balance Sheet'!D8/B6</f>
        <v>0.04786176743</v>
      </c>
      <c r="C12" s="144">
        <f t="shared" ref="C12:H12" si="2">$B12</f>
        <v>0.04786176743</v>
      </c>
      <c r="D12" s="144">
        <f t="shared" si="2"/>
        <v>0.04786176743</v>
      </c>
      <c r="E12" s="144">
        <f t="shared" si="2"/>
        <v>0.04786176743</v>
      </c>
      <c r="F12" s="144">
        <f t="shared" si="2"/>
        <v>0.04786176743</v>
      </c>
      <c r="G12" s="144">
        <f t="shared" si="2"/>
        <v>0.04786176743</v>
      </c>
      <c r="H12" s="144">
        <f t="shared" si="2"/>
        <v>0.04786176743</v>
      </c>
    </row>
    <row r="13" ht="14.25" customHeight="1">
      <c r="A13" s="1" t="s">
        <v>361</v>
      </c>
      <c r="B13" s="147">
        <f>B6/'B Balance Sheet'!D9</f>
        <v>10.87005857</v>
      </c>
      <c r="C13" s="148">
        <f t="shared" ref="C13:H13" si="3">$B13</f>
        <v>10.87005857</v>
      </c>
      <c r="D13" s="148">
        <f t="shared" si="3"/>
        <v>10.87005857</v>
      </c>
      <c r="E13" s="148">
        <f t="shared" si="3"/>
        <v>10.87005857</v>
      </c>
      <c r="F13" s="148">
        <f t="shared" si="3"/>
        <v>10.87005857</v>
      </c>
      <c r="G13" s="148">
        <f t="shared" si="3"/>
        <v>10.87005857</v>
      </c>
      <c r="H13" s="148">
        <f t="shared" si="3"/>
        <v>10.87005857</v>
      </c>
    </row>
    <row r="14" ht="14.25" customHeight="1">
      <c r="A14" s="1" t="s">
        <v>375</v>
      </c>
      <c r="B14" s="147">
        <f>B7/'B Balance Sheet'!D10</f>
        <v>6.72659562</v>
      </c>
      <c r="C14" s="148">
        <f t="shared" ref="C14:H14" si="4">$B14</f>
        <v>6.72659562</v>
      </c>
      <c r="D14" s="148">
        <f t="shared" si="4"/>
        <v>6.72659562</v>
      </c>
      <c r="E14" s="148">
        <f t="shared" si="4"/>
        <v>6.72659562</v>
      </c>
      <c r="F14" s="148">
        <f t="shared" si="4"/>
        <v>6.72659562</v>
      </c>
      <c r="G14" s="148">
        <f t="shared" si="4"/>
        <v>6.72659562</v>
      </c>
      <c r="H14" s="148">
        <f t="shared" si="4"/>
        <v>6.72659562</v>
      </c>
    </row>
    <row r="15" ht="14.25" customHeight="1">
      <c r="A15" s="1" t="s">
        <v>378</v>
      </c>
      <c r="B15" s="147">
        <f>B7/'B Balance Sheet'!D11</f>
        <v>20.31562823</v>
      </c>
      <c r="C15" s="148">
        <f t="shared" ref="C15:H15" si="5">$B15</f>
        <v>20.31562823</v>
      </c>
      <c r="D15" s="148">
        <f t="shared" si="5"/>
        <v>20.31562823</v>
      </c>
      <c r="E15" s="148">
        <f t="shared" si="5"/>
        <v>20.31562823</v>
      </c>
      <c r="F15" s="148">
        <f t="shared" si="5"/>
        <v>20.31562823</v>
      </c>
      <c r="G15" s="148">
        <f t="shared" si="5"/>
        <v>20.31562823</v>
      </c>
      <c r="H15" s="148">
        <f t="shared" si="5"/>
        <v>20.31562823</v>
      </c>
    </row>
    <row r="16" ht="14.25" customHeight="1">
      <c r="A16" s="1" t="s">
        <v>380</v>
      </c>
      <c r="B16" s="143">
        <f>'B Balance Sheet'!D12/B6</f>
        <v>0.03648006951</v>
      </c>
      <c r="C16" s="144">
        <f t="shared" ref="C16:H16" si="6">$B16</f>
        <v>0.03648006951</v>
      </c>
      <c r="D16" s="144">
        <f t="shared" si="6"/>
        <v>0.03648006951</v>
      </c>
      <c r="E16" s="144">
        <f t="shared" si="6"/>
        <v>0.03648006951</v>
      </c>
      <c r="F16" s="144">
        <f t="shared" si="6"/>
        <v>0.03648006951</v>
      </c>
      <c r="G16" s="144">
        <f t="shared" si="6"/>
        <v>0.03648006951</v>
      </c>
      <c r="H16" s="144">
        <f t="shared" si="6"/>
        <v>0.03648006951</v>
      </c>
    </row>
    <row r="17" ht="14.25" customHeight="1">
      <c r="A17" s="1" t="s">
        <v>384</v>
      </c>
      <c r="B17" s="143">
        <f>'B Balance Sheet'!D16/B6</f>
        <v>0.1761555962</v>
      </c>
      <c r="C17" s="144">
        <f t="shared" ref="C17:H17" si="7">$B17</f>
        <v>0.1761555962</v>
      </c>
      <c r="D17" s="144">
        <f t="shared" si="7"/>
        <v>0.1761555962</v>
      </c>
      <c r="E17" s="144">
        <f t="shared" si="7"/>
        <v>0.1761555962</v>
      </c>
      <c r="F17" s="144">
        <f t="shared" si="7"/>
        <v>0.1761555962</v>
      </c>
      <c r="G17" s="144">
        <f t="shared" si="7"/>
        <v>0.1761555962</v>
      </c>
      <c r="H17" s="144">
        <f t="shared" si="7"/>
        <v>0.1761555962</v>
      </c>
    </row>
    <row r="18" ht="14.25" customHeight="1">
      <c r="A18" s="1" t="s">
        <v>386</v>
      </c>
      <c r="B18" s="143">
        <f>'B Balance Sheet'!D17/B6</f>
        <v>0.1077041593</v>
      </c>
      <c r="C18" s="144">
        <f t="shared" ref="C18:H18" si="8">$B18</f>
        <v>0.1077041593</v>
      </c>
      <c r="D18" s="144">
        <f t="shared" si="8"/>
        <v>0.1077041593</v>
      </c>
      <c r="E18" s="144">
        <f t="shared" si="8"/>
        <v>0.1077041593</v>
      </c>
      <c r="F18" s="144">
        <f t="shared" si="8"/>
        <v>0.1077041593</v>
      </c>
      <c r="G18" s="144">
        <f t="shared" si="8"/>
        <v>0.1077041593</v>
      </c>
      <c r="H18" s="144">
        <f t="shared" si="8"/>
        <v>0.1077041593</v>
      </c>
    </row>
    <row r="19" ht="14.25" customHeight="1">
      <c r="A19" s="1" t="s">
        <v>387</v>
      </c>
      <c r="B19" s="143">
        <f>'B Balance Sheet'!D18/B6</f>
        <v>0.04259917186</v>
      </c>
      <c r="C19" s="144">
        <f t="shared" ref="C19:H19" si="9">$B19</f>
        <v>0.04259917186</v>
      </c>
      <c r="D19" s="144">
        <f t="shared" si="9"/>
        <v>0.04259917186</v>
      </c>
      <c r="E19" s="144">
        <f t="shared" si="9"/>
        <v>0.04259917186</v>
      </c>
      <c r="F19" s="144">
        <f t="shared" si="9"/>
        <v>0.04259917186</v>
      </c>
      <c r="G19" s="144">
        <f t="shared" si="9"/>
        <v>0.04259917186</v>
      </c>
      <c r="H19" s="144">
        <f t="shared" si="9"/>
        <v>0.04259917186</v>
      </c>
    </row>
    <row r="20" ht="14.25" customHeight="1">
      <c r="A20" s="1" t="s">
        <v>389</v>
      </c>
      <c r="B20" s="143">
        <f>'B Balance Sheet'!D19/B6</f>
        <v>0.1624158869</v>
      </c>
      <c r="C20" s="144">
        <f t="shared" ref="C20:H20" si="10">$B20</f>
        <v>0.1624158869</v>
      </c>
      <c r="D20" s="144">
        <f t="shared" si="10"/>
        <v>0.1624158869</v>
      </c>
      <c r="E20" s="144">
        <f t="shared" si="10"/>
        <v>0.1624158869</v>
      </c>
      <c r="F20" s="144">
        <f t="shared" si="10"/>
        <v>0.1624158869</v>
      </c>
      <c r="G20" s="144">
        <f t="shared" si="10"/>
        <v>0.1624158869</v>
      </c>
      <c r="H20" s="144">
        <f t="shared" si="10"/>
        <v>0.1624158869</v>
      </c>
    </row>
    <row r="21" ht="14.25" customHeight="1">
      <c r="A21" s="1" t="s">
        <v>390</v>
      </c>
      <c r="B21" s="147">
        <f>B7/'B Balance Sheet'!D24</f>
        <v>3.194795916</v>
      </c>
      <c r="C21" s="148">
        <f t="shared" ref="C21:H21" si="11">$B21</f>
        <v>3.194795916</v>
      </c>
      <c r="D21" s="148">
        <f t="shared" si="11"/>
        <v>3.194795916</v>
      </c>
      <c r="E21" s="148">
        <f t="shared" si="11"/>
        <v>3.194795916</v>
      </c>
      <c r="F21" s="148">
        <f t="shared" si="11"/>
        <v>3.194795916</v>
      </c>
      <c r="G21" s="148">
        <f t="shared" si="11"/>
        <v>3.194795916</v>
      </c>
      <c r="H21" s="148">
        <f t="shared" si="11"/>
        <v>3.194795916</v>
      </c>
    </row>
    <row r="22" ht="14.25" customHeight="1">
      <c r="A22" s="1" t="s">
        <v>392</v>
      </c>
      <c r="B22" s="147">
        <f>B6/'B Balance Sheet'!D26</f>
        <v>47.75022859</v>
      </c>
      <c r="C22" s="148">
        <f t="shared" ref="C22:H22" si="12">$B22</f>
        <v>47.75022859</v>
      </c>
      <c r="D22" s="148">
        <f t="shared" si="12"/>
        <v>47.75022859</v>
      </c>
      <c r="E22" s="148">
        <f t="shared" si="12"/>
        <v>47.75022859</v>
      </c>
      <c r="F22" s="148">
        <f t="shared" si="12"/>
        <v>47.75022859</v>
      </c>
      <c r="G22" s="148">
        <f t="shared" si="12"/>
        <v>47.75022859</v>
      </c>
      <c r="H22" s="148">
        <f t="shared" si="12"/>
        <v>47.75022859</v>
      </c>
    </row>
    <row r="23" ht="14.25" customHeight="1">
      <c r="A23" s="1" t="s">
        <v>393</v>
      </c>
      <c r="B23" s="143">
        <f>'B Balance Sheet'!D25/B6</f>
        <v>0.1303796009</v>
      </c>
      <c r="C23" s="144">
        <f t="shared" ref="C23:H23" si="13">$B23</f>
        <v>0.1303796009</v>
      </c>
      <c r="D23" s="144">
        <f t="shared" si="13"/>
        <v>0.1303796009</v>
      </c>
      <c r="E23" s="144">
        <f t="shared" si="13"/>
        <v>0.1303796009</v>
      </c>
      <c r="F23" s="144">
        <f t="shared" si="13"/>
        <v>0.1303796009</v>
      </c>
      <c r="G23" s="144">
        <f t="shared" si="13"/>
        <v>0.1303796009</v>
      </c>
      <c r="H23" s="144">
        <f t="shared" si="13"/>
        <v>0.1303796009</v>
      </c>
    </row>
    <row r="24" ht="14.25" customHeight="1">
      <c r="A24" s="1" t="s">
        <v>396</v>
      </c>
      <c r="B24" s="143">
        <f>'B Balance Sheet'!D32/B6</f>
        <v>0.1153457077</v>
      </c>
      <c r="C24" s="144">
        <f t="shared" ref="C24:H24" si="14">$B24</f>
        <v>0.1153457077</v>
      </c>
      <c r="D24" s="144">
        <f t="shared" si="14"/>
        <v>0.1153457077</v>
      </c>
      <c r="E24" s="144">
        <f t="shared" si="14"/>
        <v>0.1153457077</v>
      </c>
      <c r="F24" s="144">
        <f t="shared" si="14"/>
        <v>0.1153457077</v>
      </c>
      <c r="G24" s="144">
        <f t="shared" si="14"/>
        <v>0.1153457077</v>
      </c>
      <c r="H24" s="144">
        <f t="shared" si="14"/>
        <v>0.1153457077</v>
      </c>
    </row>
    <row r="25" ht="14.25" customHeight="1">
      <c r="A25" s="1"/>
      <c r="B25" s="141"/>
      <c r="C25" s="141"/>
      <c r="D25" s="141"/>
      <c r="E25" s="141"/>
      <c r="F25" s="141"/>
      <c r="G25" s="141"/>
      <c r="H25" s="141"/>
    </row>
    <row r="26" ht="22.5" customHeight="1">
      <c r="A26" s="9" t="s">
        <v>399</v>
      </c>
      <c r="B26" s="142"/>
      <c r="C26" s="142"/>
      <c r="D26" s="142"/>
      <c r="E26" s="142"/>
      <c r="F26" s="142"/>
      <c r="G26" s="142"/>
      <c r="H26" s="142"/>
    </row>
    <row r="27" ht="14.25" customHeight="1">
      <c r="A27" s="1" t="s">
        <v>401</v>
      </c>
      <c r="B27" s="141"/>
      <c r="C27" s="158">
        <v>-0.03</v>
      </c>
      <c r="D27" s="158">
        <v>-0.03</v>
      </c>
      <c r="E27" s="158">
        <v>-0.03</v>
      </c>
      <c r="F27" s="158">
        <v>-0.03</v>
      </c>
      <c r="G27" s="158">
        <v>-0.03</v>
      </c>
      <c r="H27" s="158">
        <v>-0.03</v>
      </c>
    </row>
    <row r="28" ht="14.25" customHeight="1">
      <c r="A28" s="1" t="s">
        <v>402</v>
      </c>
      <c r="B28" s="141"/>
      <c r="C28" s="158">
        <v>0.03</v>
      </c>
      <c r="D28" s="158">
        <v>0.03</v>
      </c>
      <c r="E28" s="158">
        <v>0.03</v>
      </c>
      <c r="F28" s="158">
        <v>0.03</v>
      </c>
      <c r="G28" s="158">
        <v>0.03</v>
      </c>
      <c r="H28" s="158">
        <v>0.03</v>
      </c>
    </row>
    <row r="29" ht="14.25" customHeight="1">
      <c r="A29" s="1" t="s">
        <v>404</v>
      </c>
      <c r="B29" s="138">
        <f>11733+'A2 Q4 Drivers'!D22</f>
        <v>15731</v>
      </c>
      <c r="C29" s="138"/>
      <c r="D29" s="138"/>
      <c r="E29" s="138"/>
      <c r="F29" s="138"/>
      <c r="G29" s="138"/>
      <c r="H29" s="138"/>
    </row>
    <row r="30" ht="14.25" customHeight="1">
      <c r="A30" s="1" t="s">
        <v>406</v>
      </c>
      <c r="B30" s="138">
        <f>62242+'A2 Q4 Drivers'!D23</f>
        <v>88191</v>
      </c>
      <c r="C30" s="138"/>
      <c r="D30" s="138"/>
      <c r="E30" s="138"/>
      <c r="F30" s="138"/>
      <c r="G30" s="138"/>
      <c r="H30" s="138"/>
    </row>
    <row r="31" ht="14.25" customHeight="1">
      <c r="A31" s="1" t="s">
        <v>408</v>
      </c>
      <c r="B31" s="161">
        <f>'A1 Income Statement'!F30</f>
        <v>14650</v>
      </c>
      <c r="C31" s="143">
        <f>'D IS Assumptions'!J12</f>
        <v>-0.02</v>
      </c>
      <c r="D31" s="143">
        <f>'D IS Assumptions'!J13</f>
        <v>-0.02</v>
      </c>
      <c r="E31" s="143">
        <f>'D IS Assumptions'!J14</f>
        <v>-0.02</v>
      </c>
      <c r="F31" s="143">
        <f>'D IS Assumptions'!J15</f>
        <v>-0.02</v>
      </c>
      <c r="G31" s="143">
        <f>'D IS Assumptions'!J16</f>
        <v>-0.02</v>
      </c>
      <c r="H31" s="143">
        <f>'D IS Assumptions'!J17</f>
        <v>-0.02</v>
      </c>
    </row>
    <row r="32" ht="14.25" customHeight="1">
      <c r="A32" s="1"/>
      <c r="B32" s="1"/>
      <c r="C32" s="1"/>
      <c r="D32" s="1"/>
      <c r="E32" s="1"/>
      <c r="F32" s="1"/>
      <c r="G32" s="1"/>
      <c r="H32" s="1"/>
    </row>
    <row r="33" ht="14.25" customHeight="1">
      <c r="A33" s="1"/>
      <c r="B33" s="1"/>
      <c r="C33" s="1"/>
      <c r="D33" s="1"/>
      <c r="E33" s="1"/>
      <c r="F33" s="1"/>
      <c r="G33" s="1"/>
      <c r="H33" s="1"/>
    </row>
    <row r="34" ht="22.5" customHeight="1">
      <c r="A34" s="9" t="s">
        <v>413</v>
      </c>
      <c r="B34" s="9"/>
      <c r="C34" s="9"/>
      <c r="D34" s="9"/>
      <c r="E34" s="9"/>
      <c r="F34" s="9"/>
      <c r="G34" s="9"/>
      <c r="H34" s="9"/>
    </row>
    <row r="35" ht="49.5" customHeight="1">
      <c r="A35" s="1" t="s">
        <v>414</v>
      </c>
      <c r="B35" s="1"/>
      <c r="C35" s="1"/>
      <c r="D35" s="1"/>
      <c r="E35" s="1"/>
      <c r="F35" s="1"/>
      <c r="G35" s="1"/>
      <c r="H35" s="1"/>
      <c r="K35" s="163" t="s">
        <v>417</v>
      </c>
    </row>
    <row r="36" ht="49.5" customHeight="1">
      <c r="A36" s="1" t="s">
        <v>418</v>
      </c>
      <c r="B36" s="1"/>
      <c r="C36" s="1"/>
      <c r="D36" s="1"/>
      <c r="E36" s="1"/>
      <c r="F36" s="1"/>
      <c r="G36" s="1"/>
      <c r="H36" s="1"/>
      <c r="K36" s="163" t="s">
        <v>419</v>
      </c>
    </row>
    <row r="37" ht="49.5" customHeight="1">
      <c r="A37" s="1" t="s">
        <v>420</v>
      </c>
      <c r="B37" s="1"/>
      <c r="C37" s="1"/>
      <c r="D37" s="1"/>
      <c r="E37" s="1"/>
      <c r="F37" s="1"/>
      <c r="G37" s="1"/>
      <c r="H37" s="1"/>
      <c r="K37" s="163" t="s">
        <v>421</v>
      </c>
    </row>
    <row r="38" ht="49.5" customHeight="1">
      <c r="A38" s="1" t="s">
        <v>422</v>
      </c>
      <c r="B38" s="1"/>
      <c r="C38" s="1"/>
      <c r="D38" s="1"/>
      <c r="E38" s="1"/>
      <c r="F38" s="1"/>
      <c r="G38" s="1"/>
      <c r="H38" s="1"/>
      <c r="K38" s="163" t="s">
        <v>423</v>
      </c>
    </row>
    <row r="39" ht="49.5" customHeight="1">
      <c r="A39" s="1" t="s">
        <v>383</v>
      </c>
      <c r="B39" s="1"/>
      <c r="C39" s="1"/>
      <c r="D39" s="1"/>
      <c r="E39" s="1"/>
      <c r="F39" s="1"/>
      <c r="G39" s="1"/>
      <c r="H39" s="1"/>
      <c r="K39" s="163" t="s">
        <v>425</v>
      </c>
    </row>
    <row r="40" ht="49.5" customHeight="1">
      <c r="A40" s="1" t="s">
        <v>426</v>
      </c>
      <c r="B40" s="1"/>
      <c r="C40" s="1"/>
      <c r="D40" s="1"/>
      <c r="E40" s="1"/>
      <c r="F40" s="1"/>
      <c r="G40" s="1"/>
      <c r="H40" s="1"/>
      <c r="K40" s="163" t="s">
        <v>427</v>
      </c>
    </row>
    <row r="41" ht="49.5" customHeight="1">
      <c r="A41" s="1" t="s">
        <v>428</v>
      </c>
      <c r="B41" s="1"/>
      <c r="C41" s="1"/>
      <c r="D41" s="1"/>
      <c r="E41" s="1"/>
      <c r="F41" s="1"/>
      <c r="G41" s="1"/>
      <c r="H41" s="1"/>
      <c r="K41" s="163" t="s">
        <v>429</v>
      </c>
    </row>
    <row r="42" ht="64.5" customHeight="1">
      <c r="A42" s="1" t="s">
        <v>16</v>
      </c>
      <c r="B42" s="1"/>
      <c r="C42" s="1"/>
      <c r="D42" s="1"/>
      <c r="E42" s="1"/>
      <c r="F42" s="1"/>
      <c r="G42" s="1"/>
      <c r="H42" s="1"/>
      <c r="K42" s="163" t="s">
        <v>430</v>
      </c>
    </row>
    <row r="43" ht="14.25" customHeight="1">
      <c r="A43" s="1"/>
      <c r="B43" s="1"/>
      <c r="C43" s="1"/>
      <c r="D43" s="1"/>
      <c r="E43" s="1"/>
      <c r="F43" s="1"/>
      <c r="G43" s="1"/>
      <c r="H43" s="1"/>
    </row>
    <row r="44" ht="14.25" customHeight="1">
      <c r="A44" s="1"/>
      <c r="B44" s="1"/>
      <c r="C44" s="1"/>
      <c r="D44" s="1"/>
      <c r="E44" s="1"/>
      <c r="F44" s="1"/>
      <c r="G44" s="1"/>
      <c r="H44" s="1"/>
    </row>
    <row r="45" ht="14.25" customHeight="1">
      <c r="A45" s="1"/>
      <c r="B45" s="1"/>
      <c r="C45" s="1"/>
      <c r="D45" s="1"/>
      <c r="E45" s="1"/>
      <c r="F45" s="1"/>
      <c r="G45" s="1"/>
      <c r="H45" s="1"/>
    </row>
    <row r="46" ht="14.25" customHeight="1">
      <c r="A46" s="1"/>
      <c r="B46" s="1"/>
      <c r="C46" s="1"/>
      <c r="D46" s="1"/>
      <c r="E46" s="1"/>
      <c r="F46" s="1"/>
      <c r="G46" s="1"/>
      <c r="H46" s="1"/>
    </row>
    <row r="47" ht="14.25" customHeight="1">
      <c r="A47" s="1"/>
      <c r="B47" s="1"/>
      <c r="C47" s="1"/>
      <c r="D47" s="1"/>
      <c r="E47" s="1"/>
      <c r="F47" s="1"/>
      <c r="G47" s="1"/>
      <c r="H47" s="1"/>
    </row>
    <row r="48" ht="14.25" customHeight="1">
      <c r="A48" s="1"/>
      <c r="B48" s="1"/>
      <c r="C48" s="1"/>
      <c r="D48" s="1"/>
      <c r="E48" s="1"/>
      <c r="F48" s="1"/>
      <c r="G48" s="1"/>
      <c r="H48" s="1"/>
    </row>
    <row r="49" ht="14.25" customHeight="1">
      <c r="A49" s="1"/>
      <c r="B49" s="1"/>
      <c r="C49" s="1"/>
      <c r="D49" s="1"/>
      <c r="E49" s="1"/>
      <c r="F49" s="1"/>
      <c r="G49" s="1"/>
      <c r="H49" s="1"/>
    </row>
    <row r="50" ht="14.25" customHeight="1">
      <c r="A50" s="1"/>
      <c r="B50" s="1"/>
      <c r="C50" s="1"/>
      <c r="D50" s="1"/>
      <c r="E50" s="1"/>
      <c r="F50" s="1"/>
      <c r="G50" s="1"/>
      <c r="H50" s="1"/>
    </row>
    <row r="51" ht="14.25" customHeight="1">
      <c r="A51" s="1"/>
      <c r="B51" s="1"/>
      <c r="C51" s="1"/>
      <c r="D51" s="1"/>
      <c r="E51" s="1"/>
      <c r="F51" s="1"/>
      <c r="G51" s="1"/>
      <c r="H51" s="1"/>
    </row>
    <row r="52" ht="14.25" customHeight="1">
      <c r="A52" s="1"/>
      <c r="B52" s="1"/>
      <c r="C52" s="1"/>
      <c r="D52" s="1"/>
      <c r="E52" s="1"/>
      <c r="F52" s="1"/>
      <c r="G52" s="1"/>
      <c r="H52" s="1"/>
    </row>
    <row r="53" ht="14.25" customHeight="1">
      <c r="A53" s="1"/>
      <c r="B53" s="1"/>
      <c r="C53" s="1"/>
      <c r="D53" s="1"/>
      <c r="E53" s="1"/>
      <c r="F53" s="1"/>
      <c r="G53" s="1"/>
      <c r="H53" s="1"/>
    </row>
    <row r="54" ht="14.25" customHeight="1">
      <c r="A54" s="1"/>
      <c r="B54" s="1"/>
      <c r="C54" s="1"/>
      <c r="D54" s="1"/>
      <c r="E54" s="1"/>
      <c r="F54" s="1"/>
      <c r="G54" s="1"/>
      <c r="H54" s="1"/>
    </row>
    <row r="55" ht="14.25" customHeight="1">
      <c r="A55" s="1"/>
      <c r="B55" s="1"/>
      <c r="C55" s="1"/>
      <c r="D55" s="1"/>
      <c r="E55" s="1"/>
      <c r="F55" s="1"/>
      <c r="G55" s="1"/>
      <c r="H55" s="1"/>
    </row>
    <row r="56" ht="14.25" customHeight="1">
      <c r="A56" s="1"/>
      <c r="B56" s="1"/>
      <c r="C56" s="1"/>
      <c r="D56" s="1"/>
      <c r="E56" s="1"/>
      <c r="F56" s="1"/>
      <c r="G56" s="1"/>
      <c r="H56" s="1"/>
    </row>
    <row r="57" ht="14.25" customHeight="1">
      <c r="A57" s="1"/>
      <c r="B57" s="1"/>
      <c r="C57" s="1"/>
      <c r="D57" s="1"/>
      <c r="E57" s="1"/>
      <c r="F57" s="1"/>
      <c r="G57" s="1"/>
      <c r="H57" s="1"/>
    </row>
    <row r="58" ht="14.25" customHeight="1">
      <c r="A58" s="1"/>
      <c r="B58" s="1"/>
      <c r="C58" s="1"/>
      <c r="D58" s="1"/>
      <c r="E58" s="1"/>
      <c r="F58" s="1"/>
      <c r="G58" s="1"/>
      <c r="H58" s="1"/>
    </row>
    <row r="59" ht="14.25" customHeight="1">
      <c r="A59" s="1"/>
      <c r="B59" s="1"/>
      <c r="C59" s="1"/>
      <c r="D59" s="1"/>
      <c r="E59" s="1"/>
      <c r="F59" s="1"/>
      <c r="G59" s="1"/>
      <c r="H59" s="1"/>
    </row>
    <row r="60" ht="14.25" customHeight="1">
      <c r="A60" s="1"/>
      <c r="B60" s="1"/>
      <c r="C60" s="1"/>
      <c r="D60" s="1"/>
      <c r="E60" s="1"/>
      <c r="F60" s="1"/>
      <c r="G60" s="1"/>
      <c r="H60" s="1"/>
    </row>
    <row r="61" ht="14.25" customHeight="1">
      <c r="A61" s="1"/>
      <c r="B61" s="1"/>
      <c r="C61" s="1"/>
      <c r="D61" s="1"/>
      <c r="E61" s="1"/>
      <c r="F61" s="1"/>
      <c r="G61" s="1"/>
      <c r="H61" s="1"/>
    </row>
    <row r="62" ht="14.25" customHeight="1">
      <c r="A62" s="1"/>
      <c r="B62" s="1"/>
      <c r="C62" s="1"/>
      <c r="D62" s="1"/>
      <c r="E62" s="1"/>
      <c r="F62" s="1"/>
      <c r="G62" s="1"/>
      <c r="H62" s="1"/>
    </row>
    <row r="63" ht="14.25" customHeight="1">
      <c r="A63" s="1"/>
      <c r="B63" s="1"/>
      <c r="C63" s="1"/>
      <c r="D63" s="1"/>
      <c r="E63" s="1"/>
      <c r="F63" s="1"/>
      <c r="G63" s="1"/>
      <c r="H63" s="1"/>
    </row>
    <row r="64" ht="14.25" customHeight="1">
      <c r="A64" s="1"/>
      <c r="B64" s="1"/>
      <c r="C64" s="1"/>
      <c r="D64" s="1"/>
      <c r="E64" s="1"/>
      <c r="F64" s="1"/>
      <c r="G64" s="1"/>
      <c r="H64" s="1"/>
    </row>
    <row r="65" ht="14.25" customHeight="1">
      <c r="A65" s="1"/>
      <c r="B65" s="1"/>
      <c r="C65" s="1"/>
      <c r="D65" s="1"/>
      <c r="E65" s="1"/>
      <c r="F65" s="1"/>
      <c r="G65" s="1"/>
      <c r="H65" s="1"/>
    </row>
    <row r="66" ht="14.25" customHeight="1">
      <c r="A66" s="1"/>
      <c r="B66" s="1"/>
      <c r="C66" s="1"/>
      <c r="D66" s="1"/>
      <c r="E66" s="1"/>
      <c r="F66" s="1"/>
      <c r="G66" s="1"/>
      <c r="H66" s="1"/>
    </row>
    <row r="67" ht="14.25" customHeight="1">
      <c r="A67" s="1"/>
      <c r="B67" s="1"/>
      <c r="C67" s="1"/>
      <c r="D67" s="1"/>
      <c r="E67" s="1"/>
      <c r="F67" s="1"/>
      <c r="G67" s="1"/>
      <c r="H67" s="1"/>
    </row>
    <row r="68" ht="14.25" customHeight="1">
      <c r="A68" s="1"/>
      <c r="B68" s="1"/>
      <c r="C68" s="1"/>
      <c r="D68" s="1"/>
      <c r="E68" s="1"/>
      <c r="F68" s="1"/>
      <c r="G68" s="1"/>
      <c r="H68" s="1"/>
    </row>
    <row r="69" ht="14.25" customHeight="1">
      <c r="A69" s="1"/>
      <c r="B69" s="1"/>
      <c r="C69" s="1"/>
      <c r="D69" s="1"/>
      <c r="E69" s="1"/>
      <c r="F69" s="1"/>
      <c r="G69" s="1"/>
      <c r="H69" s="1"/>
    </row>
    <row r="70" ht="14.25" customHeight="1">
      <c r="A70" s="1"/>
      <c r="B70" s="1"/>
      <c r="C70" s="1"/>
      <c r="D70" s="1"/>
      <c r="E70" s="1"/>
      <c r="F70" s="1"/>
      <c r="G70" s="1"/>
      <c r="H70" s="1"/>
    </row>
    <row r="71" ht="14.25" customHeight="1">
      <c r="A71" s="1"/>
      <c r="B71" s="1"/>
      <c r="C71" s="1"/>
      <c r="D71" s="1"/>
      <c r="E71" s="1"/>
      <c r="F71" s="1"/>
      <c r="G71" s="1"/>
      <c r="H71" s="1"/>
    </row>
    <row r="72" ht="14.25" customHeight="1">
      <c r="A72" s="1"/>
      <c r="B72" s="1"/>
      <c r="C72" s="1"/>
      <c r="D72" s="1"/>
      <c r="E72" s="1"/>
      <c r="F72" s="1"/>
      <c r="G72" s="1"/>
      <c r="H72" s="1"/>
    </row>
    <row r="73" ht="14.25" customHeight="1">
      <c r="A73" s="1"/>
      <c r="B73" s="1"/>
      <c r="C73" s="1"/>
      <c r="D73" s="1"/>
      <c r="E73" s="1"/>
      <c r="F73" s="1"/>
      <c r="G73" s="1"/>
      <c r="H73" s="1"/>
    </row>
    <row r="74" ht="14.25" customHeight="1">
      <c r="A74" s="1"/>
      <c r="B74" s="1"/>
      <c r="C74" s="1"/>
      <c r="D74" s="1"/>
      <c r="E74" s="1"/>
      <c r="F74" s="1"/>
      <c r="G74" s="1"/>
      <c r="H74" s="1"/>
    </row>
    <row r="75" ht="14.25" customHeight="1">
      <c r="A75" s="1"/>
      <c r="B75" s="1"/>
      <c r="C75" s="1"/>
      <c r="D75" s="1"/>
      <c r="E75" s="1"/>
      <c r="F75" s="1"/>
      <c r="G75" s="1"/>
      <c r="H75" s="1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0.0"/>
    <col customWidth="1" min="2" max="8" width="19.0"/>
    <col customWidth="1" min="9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</row>
    <row r="2" ht="31.5" customHeight="1">
      <c r="A2" s="133" t="s">
        <v>357</v>
      </c>
      <c r="B2" s="133"/>
      <c r="C2" s="133"/>
      <c r="D2" s="133"/>
      <c r="E2" s="133"/>
      <c r="F2" s="133"/>
      <c r="G2" s="133"/>
      <c r="H2" s="133"/>
    </row>
    <row r="3" ht="14.25" customHeight="1">
      <c r="A3" s="135" t="s">
        <v>359</v>
      </c>
      <c r="B3" s="135"/>
      <c r="C3" s="135"/>
      <c r="D3" s="135"/>
      <c r="E3" s="135"/>
      <c r="F3" s="135"/>
      <c r="G3" s="135"/>
      <c r="H3" s="135"/>
    </row>
    <row r="4" ht="14.25" customHeight="1">
      <c r="A4" s="1"/>
      <c r="B4" s="1"/>
      <c r="C4" s="1"/>
      <c r="D4" s="1"/>
      <c r="E4" s="1"/>
      <c r="F4" s="1"/>
      <c r="G4" s="1"/>
      <c r="H4" s="1"/>
    </row>
    <row r="5" ht="14.25" customHeight="1">
      <c r="A5" s="6" t="s">
        <v>24</v>
      </c>
      <c r="B5" s="6" t="s">
        <v>355</v>
      </c>
      <c r="C5" s="6" t="s">
        <v>228</v>
      </c>
      <c r="D5" s="6" t="s">
        <v>230</v>
      </c>
      <c r="E5" s="6" t="s">
        <v>232</v>
      </c>
      <c r="F5" s="6" t="s">
        <v>234</v>
      </c>
      <c r="G5" s="6" t="s">
        <v>235</v>
      </c>
      <c r="H5" s="6" t="s">
        <v>236</v>
      </c>
    </row>
    <row r="6" ht="22.5" customHeight="1">
      <c r="A6" s="9" t="s">
        <v>27</v>
      </c>
      <c r="B6" s="9"/>
      <c r="C6" s="9"/>
      <c r="D6" s="9"/>
      <c r="E6" s="9"/>
      <c r="F6" s="9"/>
      <c r="G6" s="9"/>
      <c r="H6" s="9"/>
    </row>
    <row r="7" ht="14.25" customHeight="1">
      <c r="A7" s="1" t="s">
        <v>28</v>
      </c>
      <c r="B7" s="145">
        <f>'B Balance Sheet'!D7</f>
        <v>29228.98136</v>
      </c>
      <c r="C7" s="146">
        <f>'F BS Assumptions'!C6*'F BS Assumptions'!C11</f>
        <v>31672.27723</v>
      </c>
      <c r="D7" s="146">
        <f>'F BS Assumptions'!D6*'F BS Assumptions'!D11</f>
        <v>33968.31286</v>
      </c>
      <c r="E7" s="146">
        <f>'F BS Assumptions'!E6*'F BS Assumptions'!E11</f>
        <v>36153.30173</v>
      </c>
      <c r="F7" s="146">
        <f>'F BS Assumptions'!F6*'F BS Assumptions'!F11</f>
        <v>38264.30147</v>
      </c>
      <c r="G7" s="146">
        <f>'F BS Assumptions'!G6*'F BS Assumptions'!G11</f>
        <v>40289.67149</v>
      </c>
      <c r="H7" s="146">
        <f>'F BS Assumptions'!H6*'F BS Assumptions'!H11</f>
        <v>42172.49781</v>
      </c>
    </row>
    <row r="8" ht="14.25" customHeight="1">
      <c r="A8" s="1" t="s">
        <v>53</v>
      </c>
      <c r="B8" s="145">
        <f>'B Balance Sheet'!D8</f>
        <v>22855</v>
      </c>
      <c r="C8" s="146">
        <f>'F BS Assumptions'!C6*'F BS Assumptions'!C12</f>
        <v>24765.48488</v>
      </c>
      <c r="D8" s="146">
        <f>'F BS Assumptions'!D6*'F BS Assumptions'!D12</f>
        <v>26560.82266</v>
      </c>
      <c r="E8" s="146">
        <f>'F BS Assumptions'!E6*'F BS Assumptions'!E12</f>
        <v>28269.32971</v>
      </c>
      <c r="F8" s="146">
        <f>'F BS Assumptions'!F6*'F BS Assumptions'!F12</f>
        <v>29919.98248</v>
      </c>
      <c r="G8" s="146">
        <f>'F BS Assumptions'!G6*'F BS Assumptions'!G12</f>
        <v>31503.67885</v>
      </c>
      <c r="H8" s="146">
        <f>'F BS Assumptions'!H6*'F BS Assumptions'!H12</f>
        <v>32975.91611</v>
      </c>
    </row>
    <row r="9" ht="14.25" customHeight="1">
      <c r="A9" s="1" t="s">
        <v>76</v>
      </c>
      <c r="B9" s="145">
        <f>'B Balance Sheet'!D9</f>
        <v>43929.93992</v>
      </c>
      <c r="C9" s="146">
        <f>'F BS Assumptions'!C6/'F BS Assumptions'!C13</f>
        <v>47602.1117</v>
      </c>
      <c r="D9" s="146">
        <f>'F BS Assumptions'!D6/'F BS Assumptions'!D13</f>
        <v>51052.9575</v>
      </c>
      <c r="E9" s="146">
        <f>'F BS Assumptions'!E6/'F BS Assumptions'!E13</f>
        <v>54336.90464</v>
      </c>
      <c r="F9" s="146">
        <f>'F BS Assumptions'!F6/'F BS Assumptions'!F13</f>
        <v>57509.64921</v>
      </c>
      <c r="G9" s="146">
        <f>'F BS Assumptions'!G6/'F BS Assumptions'!G13</f>
        <v>60553.69586</v>
      </c>
      <c r="H9" s="146">
        <f>'F BS Assumptions'!H6/'F BS Assumptions'!H13</f>
        <v>63383.5053</v>
      </c>
    </row>
    <row r="10" ht="14.25" customHeight="1">
      <c r="A10" s="1" t="s">
        <v>92</v>
      </c>
      <c r="B10" s="145">
        <f>'B Balance Sheet'!D10</f>
        <v>36420.52003</v>
      </c>
      <c r="C10" s="146">
        <f>'F BS Assumptions'!C7/'F BS Assumptions'!C14</f>
        <v>39043.21318</v>
      </c>
      <c r="D10" s="146">
        <f>'F BS Assumptions'!D7/'F BS Assumptions'!D14</f>
        <v>41447.46694</v>
      </c>
      <c r="E10" s="146">
        <f>'F BS Assumptions'!E7/'F BS Assumptions'!E14</f>
        <v>43664.06011</v>
      </c>
      <c r="F10" s="146">
        <f>'F BS Assumptions'!F7/'F BS Assumptions'!F14</f>
        <v>45764.52324</v>
      </c>
      <c r="G10" s="146">
        <f>'F BS Assumptions'!G7/'F BS Assumptions'!G14</f>
        <v>47750.25265</v>
      </c>
      <c r="H10" s="146">
        <f>'F BS Assumptions'!H7/'F BS Assumptions'!H14</f>
        <v>49589.83913</v>
      </c>
    </row>
    <row r="11" ht="14.25" customHeight="1">
      <c r="A11" s="1" t="s">
        <v>99</v>
      </c>
      <c r="B11" s="145">
        <f>'B Balance Sheet'!D11</f>
        <v>12058.99752</v>
      </c>
      <c r="C11" s="146">
        <f>'F BS Assumptions'!C7/'F BS Assumptions'!C15</f>
        <v>12927.38299</v>
      </c>
      <c r="D11" s="146">
        <f>'F BS Assumptions'!D7/'F BS Assumptions'!D15</f>
        <v>13723.44219</v>
      </c>
      <c r="E11" s="146">
        <f>'F BS Assumptions'!E7/'F BS Assumptions'!E15</f>
        <v>14457.36613</v>
      </c>
      <c r="F11" s="146">
        <f>'F BS Assumptions'!F7/'F BS Assumptions'!F15</f>
        <v>15152.8389</v>
      </c>
      <c r="G11" s="146">
        <f>'F BS Assumptions'!G7/'F BS Assumptions'!G15</f>
        <v>15810.32281</v>
      </c>
      <c r="H11" s="146">
        <f>'F BS Assumptions'!H7/'F BS Assumptions'!H15</f>
        <v>16419.41814</v>
      </c>
    </row>
    <row r="12" ht="14.25" customHeight="1">
      <c r="A12" s="1" t="s">
        <v>105</v>
      </c>
      <c r="B12" s="145">
        <f>'B Balance Sheet'!D12</f>
        <v>17420</v>
      </c>
      <c r="C12" s="146">
        <f>'F BS Assumptions'!C6*'F BS Assumptions'!C16</f>
        <v>18876.16481</v>
      </c>
      <c r="D12" s="146">
        <f>'F BS Assumptions'!D6*'F BS Assumptions'!D16</f>
        <v>20244.5649</v>
      </c>
      <c r="E12" s="146">
        <f>'F BS Assumptions'!E6*'F BS Assumptions'!E16</f>
        <v>21546.78291</v>
      </c>
      <c r="F12" s="146">
        <f>'F BS Assumptions'!F6*'F BS Assumptions'!F16</f>
        <v>22804.90461</v>
      </c>
      <c r="G12" s="146">
        <f>'F BS Assumptions'!G6*'F BS Assumptions'!G16</f>
        <v>24011.99237</v>
      </c>
      <c r="H12" s="146">
        <f>'F BS Assumptions'!H6*'F BS Assumptions'!H16</f>
        <v>25134.12639</v>
      </c>
    </row>
    <row r="13" ht="14.25" customHeight="1">
      <c r="A13" s="18" t="s">
        <v>111</v>
      </c>
      <c r="B13" s="153">
        <f>'B Balance Sheet'!D13</f>
        <v>161913.4388</v>
      </c>
      <c r="C13" s="152">
        <f t="shared" ref="C13:H13" si="1">SUM(C7:C12)</f>
        <v>174886.6348</v>
      </c>
      <c r="D13" s="152">
        <f t="shared" si="1"/>
        <v>186997.567</v>
      </c>
      <c r="E13" s="152">
        <f t="shared" si="1"/>
        <v>198427.7452</v>
      </c>
      <c r="F13" s="152">
        <f t="shared" si="1"/>
        <v>209416.1999</v>
      </c>
      <c r="G13" s="152">
        <f t="shared" si="1"/>
        <v>219919.614</v>
      </c>
      <c r="H13" s="152">
        <f t="shared" si="1"/>
        <v>229675.3029</v>
      </c>
    </row>
    <row r="14" ht="14.25" customHeight="1">
      <c r="A14" s="1"/>
      <c r="B14" s="145"/>
      <c r="C14" s="146"/>
      <c r="D14" s="146"/>
      <c r="E14" s="146"/>
      <c r="F14" s="146"/>
      <c r="G14" s="146"/>
      <c r="H14" s="146"/>
    </row>
    <row r="15" ht="22.5" customHeight="1">
      <c r="A15" s="9" t="s">
        <v>127</v>
      </c>
      <c r="B15" s="154"/>
      <c r="C15" s="155"/>
      <c r="D15" s="155"/>
      <c r="E15" s="155"/>
      <c r="F15" s="155"/>
      <c r="G15" s="155"/>
      <c r="H15" s="155"/>
    </row>
    <row r="16" ht="14.25" customHeight="1">
      <c r="A16" s="1" t="s">
        <v>129</v>
      </c>
      <c r="B16" s="145">
        <f>'B Balance Sheet'!D16</f>
        <v>84118</v>
      </c>
      <c r="C16" s="146">
        <f>'F BS Assumptions'!C6*'F BS Assumptions'!C17</f>
        <v>91149.55403</v>
      </c>
      <c r="D16" s="146">
        <f>'F BS Assumptions'!D6*'F BS Assumptions'!D17</f>
        <v>97757.30828</v>
      </c>
      <c r="E16" s="146">
        <f>'F BS Assumptions'!E6*'F BS Assumptions'!E17</f>
        <v>104045.4813</v>
      </c>
      <c r="F16" s="146">
        <f>'F BS Assumptions'!F6*'F BS Assumptions'!F17</f>
        <v>110120.7213</v>
      </c>
      <c r="G16" s="146">
        <f>'F BS Assumptions'!G6*'F BS Assumptions'!G17</f>
        <v>115949.5278</v>
      </c>
      <c r="H16" s="146">
        <f>'F BS Assumptions'!H6*'F BS Assumptions'!H17</f>
        <v>121368.1081</v>
      </c>
    </row>
    <row r="17" ht="14.25" customHeight="1">
      <c r="A17" s="1" t="s">
        <v>132</v>
      </c>
      <c r="B17" s="145">
        <f>'B Balance Sheet'!D17</f>
        <v>51431</v>
      </c>
      <c r="C17" s="146">
        <f>'F BS Assumptions'!C6*'F BS Assumptions'!C18</f>
        <v>55730.19703</v>
      </c>
      <c r="D17" s="146">
        <f>'F BS Assumptions'!D6*'F BS Assumptions'!D18</f>
        <v>59770.27654</v>
      </c>
      <c r="E17" s="146">
        <f>'F BS Assumptions'!E6*'F BS Assumptions'!E18</f>
        <v>63614.95936</v>
      </c>
      <c r="F17" s="146">
        <f>'F BS Assumptions'!F6*'F BS Assumptions'!F18</f>
        <v>67329.45171</v>
      </c>
      <c r="G17" s="146">
        <f>'F BS Assumptions'!G6*'F BS Assumptions'!G18</f>
        <v>70893.27092</v>
      </c>
      <c r="H17" s="146">
        <f>'F BS Assumptions'!H6*'F BS Assumptions'!H18</f>
        <v>74206.27179</v>
      </c>
    </row>
    <row r="18" ht="14.25" customHeight="1">
      <c r="A18" s="1" t="s">
        <v>137</v>
      </c>
      <c r="B18" s="145">
        <f>'B Balance Sheet'!D18</f>
        <v>20342</v>
      </c>
      <c r="C18" s="146">
        <f>'F BS Assumptions'!C6*'F BS Assumptions'!C19</f>
        <v>22042.41932</v>
      </c>
      <c r="D18" s="146">
        <f>'F BS Assumptions'!D6*'F BS Assumptions'!D19</f>
        <v>23640.35242</v>
      </c>
      <c r="E18" s="146">
        <f>'F BS Assumptions'!E6*'F BS Assumptions'!E19</f>
        <v>25161.00218</v>
      </c>
      <c r="F18" s="146">
        <f>'F BS Assumptions'!F6*'F BS Assumptions'!F19</f>
        <v>26630.15898</v>
      </c>
      <c r="G18" s="146">
        <f>'F BS Assumptions'!G6*'F BS Assumptions'!G19</f>
        <v>28039.72151</v>
      </c>
      <c r="H18" s="146">
        <f>'F BS Assumptions'!H6*'F BS Assumptions'!H19</f>
        <v>29350.08032</v>
      </c>
    </row>
    <row r="19" ht="14.25" customHeight="1">
      <c r="A19" s="1" t="s">
        <v>140</v>
      </c>
      <c r="B19" s="145">
        <f>'B Balance Sheet'!D19</f>
        <v>77557</v>
      </c>
      <c r="C19" s="146">
        <f>'F BS Assumptions'!C6*'F BS Assumptions'!C20</f>
        <v>84040.10987</v>
      </c>
      <c r="D19" s="146">
        <f>'F BS Assumptions'!D6*'F BS Assumptions'!D20</f>
        <v>90132.47531</v>
      </c>
      <c r="E19" s="146">
        <f>'F BS Assumptions'!E6*'F BS Assumptions'!E20</f>
        <v>95930.18613</v>
      </c>
      <c r="F19" s="146">
        <f>'F BS Assumptions'!F6*'F BS Assumptions'!F20</f>
        <v>101531.5721</v>
      </c>
      <c r="G19" s="146">
        <f>'F BS Assumptions'!G6*'F BS Assumptions'!G20</f>
        <v>106905.7458</v>
      </c>
      <c r="H19" s="146">
        <f>'F BS Assumptions'!H6*'F BS Assumptions'!H20</f>
        <v>111901.69</v>
      </c>
    </row>
    <row r="20" ht="14.25" customHeight="1">
      <c r="A20" s="18" t="s">
        <v>145</v>
      </c>
      <c r="B20" s="153">
        <f>'B Balance Sheet'!D20</f>
        <v>233448</v>
      </c>
      <c r="C20" s="152">
        <f t="shared" ref="C20:H20" si="2">SUM(C16:C19)</f>
        <v>252962.2803</v>
      </c>
      <c r="D20" s="152">
        <f t="shared" si="2"/>
        <v>271300.4125</v>
      </c>
      <c r="E20" s="152">
        <f t="shared" si="2"/>
        <v>288751.629</v>
      </c>
      <c r="F20" s="152">
        <f t="shared" si="2"/>
        <v>305611.9042</v>
      </c>
      <c r="G20" s="152">
        <f t="shared" si="2"/>
        <v>321788.266</v>
      </c>
      <c r="H20" s="152">
        <f t="shared" si="2"/>
        <v>336826.1503</v>
      </c>
    </row>
    <row r="21" ht="14.25" customHeight="1">
      <c r="A21" s="18" t="s">
        <v>157</v>
      </c>
      <c r="B21" s="153">
        <f>'B Balance Sheet'!D21</f>
        <v>395361.4388</v>
      </c>
      <c r="C21" s="152">
        <f t="shared" ref="C21:H21" si="3">C13+C20</f>
        <v>427848.915</v>
      </c>
      <c r="D21" s="152">
        <f t="shared" si="3"/>
        <v>458297.9796</v>
      </c>
      <c r="E21" s="152">
        <f t="shared" si="3"/>
        <v>487179.3742</v>
      </c>
      <c r="F21" s="152">
        <f t="shared" si="3"/>
        <v>515028.1041</v>
      </c>
      <c r="G21" s="152">
        <f t="shared" si="3"/>
        <v>541707.88</v>
      </c>
      <c r="H21" s="152">
        <f t="shared" si="3"/>
        <v>566501.4532</v>
      </c>
    </row>
    <row r="22" ht="14.25" customHeight="1">
      <c r="A22" s="1"/>
      <c r="B22" s="145"/>
      <c r="C22" s="146"/>
      <c r="D22" s="146"/>
      <c r="E22" s="146"/>
      <c r="F22" s="146"/>
      <c r="G22" s="146"/>
      <c r="H22" s="146"/>
    </row>
    <row r="23" ht="22.5" customHeight="1">
      <c r="A23" s="9" t="s">
        <v>167</v>
      </c>
      <c r="B23" s="154"/>
      <c r="C23" s="155"/>
      <c r="D23" s="155"/>
      <c r="E23" s="155"/>
      <c r="F23" s="155"/>
      <c r="G23" s="155"/>
      <c r="H23" s="155"/>
    </row>
    <row r="24" ht="14.25" customHeight="1">
      <c r="A24" s="1" t="s">
        <v>168</v>
      </c>
      <c r="B24" s="145">
        <f>'B Balance Sheet'!D24</f>
        <v>76682.86706</v>
      </c>
      <c r="C24" s="146">
        <f>'F BS Assumptions'!C7/'F BS Assumptions'!C21</f>
        <v>82204.90876</v>
      </c>
      <c r="D24" s="146">
        <f>'F BS Assumptions'!D7/'F BS Assumptions'!D21</f>
        <v>87267.02954</v>
      </c>
      <c r="E24" s="146">
        <f>'F BS Assumptions'!E7/'F BS Assumptions'!E21</f>
        <v>91934.03374</v>
      </c>
      <c r="F24" s="146">
        <f>'F BS Assumptions'!F7/'F BS Assumptions'!F21</f>
        <v>96356.52784</v>
      </c>
      <c r="G24" s="146">
        <f>'F BS Assumptions'!G7/'F BS Assumptions'!G21</f>
        <v>100537.4518</v>
      </c>
      <c r="H24" s="146">
        <f>'F BS Assumptions'!H7/'F BS Assumptions'!H21</f>
        <v>104410.6739</v>
      </c>
    </row>
    <row r="25" ht="14.25" customHeight="1">
      <c r="A25" s="1" t="s">
        <v>170</v>
      </c>
      <c r="B25" s="145">
        <f>'B Balance Sheet'!D25</f>
        <v>62259</v>
      </c>
      <c r="C25" s="146">
        <f>'F BS Assumptions'!C6*'F BS Assumptions'!C23</f>
        <v>67463.32633</v>
      </c>
      <c r="D25" s="146">
        <f>'F BS Assumptions'!D6*'F BS Assumptions'!D23</f>
        <v>72353.98198</v>
      </c>
      <c r="E25" s="146">
        <f>'F BS Assumptions'!E6*'F BS Assumptions'!E23</f>
        <v>77008.10318</v>
      </c>
      <c r="F25" s="146">
        <f>'F BS Assumptions'!F6*'F BS Assumptions'!F23</f>
        <v>81504.62433</v>
      </c>
      <c r="G25" s="146">
        <f>'F BS Assumptions'!G6*'F BS Assumptions'!G23</f>
        <v>85818.75044</v>
      </c>
      <c r="H25" s="146">
        <f>'F BS Assumptions'!H6*'F BS Assumptions'!H23</f>
        <v>89829.2523</v>
      </c>
    </row>
    <row r="26" ht="14.25" customHeight="1">
      <c r="A26" s="1" t="s">
        <v>171</v>
      </c>
      <c r="B26" s="145">
        <f>'B Balance Sheet'!D26</f>
        <v>10000.39234</v>
      </c>
      <c r="C26" s="146">
        <f>'F BS Assumptions'!C6/'F BS Assumptions'!C22</f>
        <v>10836.34064</v>
      </c>
      <c r="D26" s="146">
        <f>'F BS Assumptions'!D6/'F BS Assumptions'!D22</f>
        <v>11621.90538</v>
      </c>
      <c r="E26" s="146">
        <f>'F BS Assumptions'!E6/'F BS Assumptions'!E22</f>
        <v>12369.47662</v>
      </c>
      <c r="F26" s="146">
        <f>'F BS Assumptions'!F6/'F BS Assumptions'!F22</f>
        <v>13091.73325</v>
      </c>
      <c r="G26" s="146">
        <f>'F BS Assumptions'!G6/'F BS Assumptions'!G22</f>
        <v>13784.69256</v>
      </c>
      <c r="H26" s="146">
        <f>'F BS Assumptions'!H6/'F BS Assumptions'!H22</f>
        <v>14428.88203</v>
      </c>
    </row>
    <row r="27" ht="14.25" customHeight="1">
      <c r="A27" s="1" t="s">
        <v>173</v>
      </c>
      <c r="B27" s="145">
        <f>'B Balance Sheet'!D27</f>
        <v>1997</v>
      </c>
      <c r="C27" s="146">
        <f>B27*(1+'F BS Assumptions'!C27)</f>
        <v>1937.09</v>
      </c>
      <c r="D27" s="146">
        <f>C27*(1+'F BS Assumptions'!D27)</f>
        <v>1878.9773</v>
      </c>
      <c r="E27" s="146">
        <f>D27*(1+'F BS Assumptions'!E27)</f>
        <v>1822.607981</v>
      </c>
      <c r="F27" s="146">
        <f>E27*(1+'F BS Assumptions'!F27)</f>
        <v>1767.929742</v>
      </c>
      <c r="G27" s="146">
        <f>F27*(1+'F BS Assumptions'!G27)</f>
        <v>1714.891849</v>
      </c>
      <c r="H27" s="146">
        <f>G27*(1+'F BS Assumptions'!H27)</f>
        <v>1663.445094</v>
      </c>
    </row>
    <row r="28" ht="14.25" customHeight="1">
      <c r="A28" s="1" t="s">
        <v>175</v>
      </c>
      <c r="B28" s="145">
        <f>'B Balance Sheet'!D28</f>
        <v>11007</v>
      </c>
      <c r="C28" s="146">
        <f>B28*(1+'F BS Assumptions'!C27)</f>
        <v>10676.79</v>
      </c>
      <c r="D28" s="146">
        <f>C28*(1+'F BS Assumptions'!D27)</f>
        <v>10356.4863</v>
      </c>
      <c r="E28" s="146">
        <f>D28*(1+'F BS Assumptions'!E27)</f>
        <v>10045.79171</v>
      </c>
      <c r="F28" s="146">
        <f>E28*(1+'F BS Assumptions'!F27)</f>
        <v>9744.41796</v>
      </c>
      <c r="G28" s="146">
        <f>F28*(1+'F BS Assumptions'!G27)</f>
        <v>9452.085421</v>
      </c>
      <c r="H28" s="146">
        <f>G28*(1+'F BS Assumptions'!H27)</f>
        <v>9168.522858</v>
      </c>
    </row>
    <row r="29" ht="14.25" customHeight="1">
      <c r="A29" s="18" t="s">
        <v>177</v>
      </c>
      <c r="B29" s="153">
        <f>'B Balance Sheet'!D29</f>
        <v>161946.2594</v>
      </c>
      <c r="C29" s="152">
        <f t="shared" ref="C29:H29" si="4">SUM(C24:C28)</f>
        <v>173118.4557</v>
      </c>
      <c r="D29" s="152">
        <f t="shared" si="4"/>
        <v>183478.3805</v>
      </c>
      <c r="E29" s="152">
        <f t="shared" si="4"/>
        <v>193180.0132</v>
      </c>
      <c r="F29" s="152">
        <f t="shared" si="4"/>
        <v>202465.2331</v>
      </c>
      <c r="G29" s="152">
        <f t="shared" si="4"/>
        <v>211307.8721</v>
      </c>
      <c r="H29" s="152">
        <f t="shared" si="4"/>
        <v>219500.7762</v>
      </c>
    </row>
    <row r="30" ht="22.5" customHeight="1">
      <c r="A30" s="9" t="s">
        <v>180</v>
      </c>
      <c r="B30" s="154"/>
      <c r="C30" s="155"/>
      <c r="D30" s="155"/>
      <c r="E30" s="155"/>
      <c r="F30" s="155"/>
      <c r="G30" s="155"/>
      <c r="H30" s="155"/>
    </row>
    <row r="31" ht="14.25" customHeight="1">
      <c r="A31" s="1" t="s">
        <v>182</v>
      </c>
      <c r="B31" s="145">
        <f>'B Balance Sheet'!D31</f>
        <v>71340</v>
      </c>
      <c r="C31" s="146">
        <f>B31*(1+'F BS Assumptions'!C27)</f>
        <v>69199.8</v>
      </c>
      <c r="D31" s="146">
        <f>C31*(1+'F BS Assumptions'!D27)</f>
        <v>67123.806</v>
      </c>
      <c r="E31" s="146">
        <f>D31*(1+'F BS Assumptions'!E27)</f>
        <v>65110.09182</v>
      </c>
      <c r="F31" s="146">
        <f>E31*(1+'F BS Assumptions'!F27)</f>
        <v>63156.78907</v>
      </c>
      <c r="G31" s="146">
        <f>F31*(1+'F BS Assumptions'!G27)</f>
        <v>61262.08539</v>
      </c>
      <c r="H31" s="146">
        <f>G31*(1+'F BS Assumptions'!H27)</f>
        <v>59424.22283</v>
      </c>
    </row>
    <row r="32" ht="14.25" customHeight="1">
      <c r="A32" s="1" t="s">
        <v>183</v>
      </c>
      <c r="B32" s="145">
        <f>'B Balance Sheet'!D32</f>
        <v>55080</v>
      </c>
      <c r="C32" s="146">
        <f>'F BS Assumptions'!C6*'F BS Assumptions'!C24</f>
        <v>59684.22259</v>
      </c>
      <c r="D32" s="146">
        <f>'F BS Assumptions'!D6*'F BS Assumptions'!D24</f>
        <v>64010.94343</v>
      </c>
      <c r="E32" s="146">
        <f>'F BS Assumptions'!E6*'F BS Assumptions'!E24</f>
        <v>68128.40429</v>
      </c>
      <c r="F32" s="146">
        <f>'F BS Assumptions'!F6*'F BS Assumptions'!F24</f>
        <v>72106.43776</v>
      </c>
      <c r="G32" s="146">
        <f>'F BS Assumptions'!G6*'F BS Assumptions'!G24</f>
        <v>75923.1079</v>
      </c>
      <c r="H32" s="146">
        <f>'F BS Assumptions'!H6*'F BS Assumptions'!H24</f>
        <v>79471.16428</v>
      </c>
    </row>
    <row r="33" ht="14.25" customHeight="1">
      <c r="A33" s="18" t="s">
        <v>184</v>
      </c>
      <c r="B33" s="153">
        <f>'B Balance Sheet'!D33</f>
        <v>126420</v>
      </c>
      <c r="C33" s="152">
        <f t="shared" ref="C33:H33" si="5">SUM(C31:C32)</f>
        <v>128884.0226</v>
      </c>
      <c r="D33" s="152">
        <f t="shared" si="5"/>
        <v>131134.7494</v>
      </c>
      <c r="E33" s="152">
        <f t="shared" si="5"/>
        <v>133238.4961</v>
      </c>
      <c r="F33" s="152">
        <f t="shared" si="5"/>
        <v>135263.2268</v>
      </c>
      <c r="G33" s="152">
        <f t="shared" si="5"/>
        <v>137185.1933</v>
      </c>
      <c r="H33" s="152">
        <f t="shared" si="5"/>
        <v>138895.3871</v>
      </c>
    </row>
    <row r="34" ht="14.25" customHeight="1">
      <c r="A34" s="18" t="s">
        <v>192</v>
      </c>
      <c r="B34" s="153">
        <f>'B Balance Sheet'!D34</f>
        <v>288366.2594</v>
      </c>
      <c r="C34" s="152">
        <f t="shared" ref="C34:H34" si="6">C29+C33</f>
        <v>302002.4783</v>
      </c>
      <c r="D34" s="152">
        <f t="shared" si="6"/>
        <v>314613.1299</v>
      </c>
      <c r="E34" s="152">
        <f t="shared" si="6"/>
        <v>326418.5093</v>
      </c>
      <c r="F34" s="152">
        <f t="shared" si="6"/>
        <v>337728.46</v>
      </c>
      <c r="G34" s="152">
        <f t="shared" si="6"/>
        <v>348493.0653</v>
      </c>
      <c r="H34" s="152">
        <f t="shared" si="6"/>
        <v>358396.1633</v>
      </c>
    </row>
    <row r="35" ht="22.5" customHeight="1">
      <c r="A35" s="9" t="s">
        <v>441</v>
      </c>
      <c r="B35" s="154"/>
      <c r="C35" s="155"/>
      <c r="D35" s="155"/>
      <c r="E35" s="155"/>
      <c r="F35" s="155"/>
      <c r="G35" s="155"/>
      <c r="H35" s="155"/>
    </row>
    <row r="36" ht="14.25" customHeight="1">
      <c r="A36" s="1" t="s">
        <v>197</v>
      </c>
      <c r="B36" s="145">
        <f>'B Balance Sheet'!D36</f>
        <v>101897</v>
      </c>
      <c r="C36" s="146">
        <f t="shared" ref="C36:H36" si="7">B36</f>
        <v>101897</v>
      </c>
      <c r="D36" s="146">
        <f t="shared" si="7"/>
        <v>101897</v>
      </c>
      <c r="E36" s="146">
        <f t="shared" si="7"/>
        <v>101897</v>
      </c>
      <c r="F36" s="146">
        <f t="shared" si="7"/>
        <v>101897</v>
      </c>
      <c r="G36" s="146">
        <f t="shared" si="7"/>
        <v>101897</v>
      </c>
      <c r="H36" s="146">
        <f t="shared" si="7"/>
        <v>101897</v>
      </c>
    </row>
    <row r="37" ht="14.25" customHeight="1">
      <c r="A37" s="1" t="s">
        <v>205</v>
      </c>
      <c r="B37" s="145">
        <f>'B Balance Sheet'!D37</f>
        <v>9606.179433</v>
      </c>
      <c r="C37" s="146">
        <f t="shared" ref="C37:H37" si="8">B37+C48-C49-C51</f>
        <v>28457.43672</v>
      </c>
      <c r="D37" s="146">
        <f t="shared" si="8"/>
        <v>46295.84967</v>
      </c>
      <c r="E37" s="146">
        <f t="shared" si="8"/>
        <v>63371.86489</v>
      </c>
      <c r="F37" s="146">
        <f t="shared" si="8"/>
        <v>79910.64412</v>
      </c>
      <c r="G37" s="146">
        <f t="shared" si="8"/>
        <v>95825.81469</v>
      </c>
      <c r="H37" s="146">
        <f t="shared" si="8"/>
        <v>110716.2898</v>
      </c>
    </row>
    <row r="38" ht="14.25" customHeight="1">
      <c r="A38" s="1" t="s">
        <v>207</v>
      </c>
      <c r="B38" s="145">
        <f>'B Balance Sheet'!D38</f>
        <v>-4508</v>
      </c>
      <c r="C38" s="146">
        <f t="shared" ref="C38:H38" si="9">B38</f>
        <v>-4508</v>
      </c>
      <c r="D38" s="146">
        <f t="shared" si="9"/>
        <v>-4508</v>
      </c>
      <c r="E38" s="146">
        <f t="shared" si="9"/>
        <v>-4508</v>
      </c>
      <c r="F38" s="146">
        <f t="shared" si="9"/>
        <v>-4508</v>
      </c>
      <c r="G38" s="146">
        <f t="shared" si="9"/>
        <v>-4508</v>
      </c>
      <c r="H38" s="146">
        <f t="shared" si="9"/>
        <v>-4508</v>
      </c>
    </row>
    <row r="39" ht="14.25" customHeight="1">
      <c r="A39" s="18" t="s">
        <v>444</v>
      </c>
      <c r="B39" s="153">
        <f>'B Balance Sheet'!D39</f>
        <v>106995.1794</v>
      </c>
      <c r="C39" s="152">
        <f t="shared" ref="C39:H39" si="10">SUM(C36:C38)</f>
        <v>125846.4367</v>
      </c>
      <c r="D39" s="152">
        <f t="shared" si="10"/>
        <v>143684.8497</v>
      </c>
      <c r="E39" s="152">
        <f t="shared" si="10"/>
        <v>160760.8649</v>
      </c>
      <c r="F39" s="152">
        <f t="shared" si="10"/>
        <v>177299.6441</v>
      </c>
      <c r="G39" s="152">
        <f t="shared" si="10"/>
        <v>193214.8147</v>
      </c>
      <c r="H39" s="152">
        <f t="shared" si="10"/>
        <v>208105.2898</v>
      </c>
    </row>
    <row r="40" ht="14.25" customHeight="1">
      <c r="A40" s="18" t="s">
        <v>445</v>
      </c>
      <c r="B40" s="153">
        <f>'B Balance Sheet'!D40</f>
        <v>395361.4388</v>
      </c>
      <c r="C40" s="152">
        <f t="shared" ref="C40:H40" si="11">C34+C39</f>
        <v>427848.915</v>
      </c>
      <c r="D40" s="152">
        <f t="shared" si="11"/>
        <v>458297.9796</v>
      </c>
      <c r="E40" s="152">
        <f t="shared" si="11"/>
        <v>487179.3742</v>
      </c>
      <c r="F40" s="152">
        <f t="shared" si="11"/>
        <v>515028.1041</v>
      </c>
      <c r="G40" s="152">
        <f t="shared" si="11"/>
        <v>541707.88</v>
      </c>
      <c r="H40" s="152">
        <f t="shared" si="11"/>
        <v>566501.4532</v>
      </c>
    </row>
    <row r="41" ht="14.25" customHeight="1">
      <c r="A41" s="1"/>
      <c r="B41" s="145"/>
      <c r="C41" s="146"/>
      <c r="D41" s="146"/>
      <c r="E41" s="146"/>
      <c r="F41" s="146"/>
      <c r="G41" s="146"/>
      <c r="H41" s="146"/>
    </row>
    <row r="42" ht="14.25" customHeight="1">
      <c r="A42" s="1"/>
      <c r="B42" s="145"/>
      <c r="C42" s="146"/>
      <c r="D42" s="146"/>
      <c r="E42" s="146"/>
      <c r="F42" s="146"/>
      <c r="G42" s="146"/>
      <c r="H42" s="146"/>
    </row>
    <row r="43" ht="14.25" customHeight="1">
      <c r="A43" s="1"/>
      <c r="B43" s="145"/>
      <c r="C43" s="146"/>
      <c r="D43" s="146"/>
      <c r="E43" s="146"/>
      <c r="F43" s="146"/>
      <c r="G43" s="146"/>
      <c r="H43" s="146"/>
    </row>
    <row r="44" ht="14.25" customHeight="1">
      <c r="A44" s="1"/>
      <c r="B44" s="145"/>
      <c r="C44" s="146"/>
      <c r="D44" s="146"/>
      <c r="E44" s="146"/>
      <c r="F44" s="146"/>
      <c r="G44" s="146"/>
      <c r="H44" s="146"/>
    </row>
    <row r="45" ht="14.25" customHeight="1">
      <c r="A45" s="1"/>
      <c r="B45" s="145"/>
      <c r="C45" s="146"/>
      <c r="D45" s="146"/>
      <c r="E45" s="146"/>
      <c r="F45" s="146"/>
      <c r="G45" s="146"/>
      <c r="H45" s="146"/>
    </row>
    <row r="46" ht="14.25" customHeight="1">
      <c r="A46" s="1"/>
      <c r="B46" s="145"/>
      <c r="C46" s="146"/>
      <c r="D46" s="146"/>
      <c r="E46" s="146"/>
      <c r="F46" s="146"/>
      <c r="G46" s="146"/>
      <c r="H46" s="146"/>
    </row>
    <row r="47" ht="22.5" customHeight="1">
      <c r="A47" s="9" t="s">
        <v>448</v>
      </c>
      <c r="B47" s="154"/>
      <c r="C47" s="155"/>
      <c r="D47" s="155"/>
      <c r="E47" s="155"/>
      <c r="F47" s="155"/>
      <c r="G47" s="155"/>
      <c r="H47" s="155"/>
    </row>
    <row r="48" ht="14.25" customHeight="1">
      <c r="A48" s="1" t="s">
        <v>41</v>
      </c>
      <c r="B48" s="145">
        <f>'E IS Outputs for BS'!B10</f>
        <v>130566.1794</v>
      </c>
      <c r="C48" s="146">
        <f>'E IS Outputs for BS'!C10</f>
        <v>145364.7724</v>
      </c>
      <c r="D48" s="146">
        <f>'E IS Outputs for BS'!D10</f>
        <v>159222.9757</v>
      </c>
      <c r="E48" s="146">
        <f>'E IS Outputs for BS'!E10</f>
        <v>172975.9025</v>
      </c>
      <c r="F48" s="146">
        <f>'E IS Outputs for BS'!F10</f>
        <v>186642.3943</v>
      </c>
      <c r="G48" s="146">
        <f>'E IS Outputs for BS'!G10</f>
        <v>200073.2577</v>
      </c>
      <c r="H48" s="146">
        <f>'E IS Outputs for BS'!H10</f>
        <v>212774.8569</v>
      </c>
    </row>
    <row r="49" ht="14.25" customHeight="1">
      <c r="A49" s="1" t="s">
        <v>449</v>
      </c>
      <c r="B49" s="145">
        <f>'F BS Assumptions'!B29</f>
        <v>15731</v>
      </c>
      <c r="C49" s="146">
        <f>B49*(1+'F BS Assumptions'!C28)</f>
        <v>16202.93</v>
      </c>
      <c r="D49" s="146">
        <f>C49*(1+'F BS Assumptions'!D28)</f>
        <v>16689.0179</v>
      </c>
      <c r="E49" s="146">
        <f>D49*(1+'F BS Assumptions'!E28)</f>
        <v>17189.68844</v>
      </c>
      <c r="F49" s="146">
        <f>E49*(1+'F BS Assumptions'!F28)</f>
        <v>17705.37909</v>
      </c>
      <c r="G49" s="146">
        <f>F49*(1+'F BS Assumptions'!G28)</f>
        <v>18236.54046</v>
      </c>
      <c r="H49" s="146">
        <f>G49*(1+'F BS Assumptions'!H28)</f>
        <v>18783.63668</v>
      </c>
    </row>
    <row r="50" ht="14.25" customHeight="1">
      <c r="A50" s="18" t="s">
        <v>450</v>
      </c>
      <c r="B50" s="153">
        <f>B37</f>
        <v>9606.179433</v>
      </c>
      <c r="C50" s="152">
        <f t="shared" ref="C50:H50" si="12">C21-C34-C36-C38</f>
        <v>28457.43672</v>
      </c>
      <c r="D50" s="152">
        <f t="shared" si="12"/>
        <v>46295.84967</v>
      </c>
      <c r="E50" s="152">
        <f t="shared" si="12"/>
        <v>63371.86489</v>
      </c>
      <c r="F50" s="152">
        <f t="shared" si="12"/>
        <v>79910.64412</v>
      </c>
      <c r="G50" s="152">
        <f t="shared" si="12"/>
        <v>95825.81469</v>
      </c>
      <c r="H50" s="152">
        <f t="shared" si="12"/>
        <v>110716.2898</v>
      </c>
    </row>
    <row r="51" ht="14.25" customHeight="1">
      <c r="A51" s="18" t="s">
        <v>452</v>
      </c>
      <c r="B51" s="153">
        <f>'F BS Assumptions'!B30</f>
        <v>88191</v>
      </c>
      <c r="C51" s="152">
        <f t="shared" ref="C51:H51" si="13">B37+C48-C49-C50</f>
        <v>110310.5851</v>
      </c>
      <c r="D51" s="152">
        <f t="shared" si="13"/>
        <v>124695.5449</v>
      </c>
      <c r="E51" s="152">
        <f t="shared" si="13"/>
        <v>138710.1988</v>
      </c>
      <c r="F51" s="152">
        <f t="shared" si="13"/>
        <v>152398.2359</v>
      </c>
      <c r="G51" s="152">
        <f t="shared" si="13"/>
        <v>165921.5466</v>
      </c>
      <c r="H51" s="152">
        <f t="shared" si="13"/>
        <v>179100.745</v>
      </c>
    </row>
    <row r="52" ht="14.25" customHeight="1">
      <c r="A52" s="1" t="s">
        <v>453</v>
      </c>
      <c r="B52" s="179"/>
      <c r="C52" s="180">
        <f>C51/('C2 Annual IS Forecast'!G32-'C2 Annual IS Forecast'!H32)</f>
        <v>374.5632627</v>
      </c>
      <c r="D52" s="180">
        <f>D51/('C2 Annual IS Forecast'!H32-'C2 Annual IS Forecast'!I32)</f>
        <v>432.0488492</v>
      </c>
      <c r="E52" s="180">
        <f>E51/('C2 Annual IS Forecast'!I32-'C2 Annual IS Forecast'!J32)</f>
        <v>490.4155519</v>
      </c>
      <c r="F52" s="180">
        <f>F51/('C2 Annual IS Forecast'!J32-'C2 Annual IS Forecast'!K32)</f>
        <v>549.8062899</v>
      </c>
      <c r="G52" s="180">
        <f>G51/('C2 Annual IS Forecast'!K32-'C2 Annual IS Forecast'!L32)</f>
        <v>610.8104741</v>
      </c>
      <c r="H52" s="180">
        <f>H51/('C2 Annual IS Forecast'!L32-'C2 Annual IS Forecast'!M32)</f>
        <v>672.7829938</v>
      </c>
    </row>
    <row r="53" ht="14.25" customHeight="1">
      <c r="A53" s="18" t="s">
        <v>458</v>
      </c>
      <c r="B53" s="153">
        <f t="shared" ref="B53:H53" si="14">B49+B51</f>
        <v>103922</v>
      </c>
      <c r="C53" s="152">
        <f t="shared" si="14"/>
        <v>126513.5151</v>
      </c>
      <c r="D53" s="152">
        <f t="shared" si="14"/>
        <v>141384.5628</v>
      </c>
      <c r="E53" s="152">
        <f t="shared" si="14"/>
        <v>155899.8873</v>
      </c>
      <c r="F53" s="152">
        <f t="shared" si="14"/>
        <v>170103.615</v>
      </c>
      <c r="G53" s="152">
        <f t="shared" si="14"/>
        <v>184158.0871</v>
      </c>
      <c r="H53" s="152">
        <f t="shared" si="14"/>
        <v>197884.3817</v>
      </c>
    </row>
    <row r="54" ht="14.25" customHeight="1">
      <c r="A54" s="18" t="s">
        <v>460</v>
      </c>
      <c r="B54" s="153"/>
      <c r="C54" s="152">
        <f t="shared" ref="C54:H54" si="15">C39-B39-C48+C53</f>
        <v>0</v>
      </c>
      <c r="D54" s="152">
        <f t="shared" si="15"/>
        <v>0</v>
      </c>
      <c r="E54" s="152">
        <f t="shared" si="15"/>
        <v>0</v>
      </c>
      <c r="F54" s="152">
        <f t="shared" si="15"/>
        <v>0</v>
      </c>
      <c r="G54" s="152">
        <f t="shared" si="15"/>
        <v>0</v>
      </c>
      <c r="H54" s="152">
        <f t="shared" si="15"/>
        <v>0</v>
      </c>
    </row>
    <row r="55" ht="14.25" customHeight="1">
      <c r="A55" s="18" t="s">
        <v>221</v>
      </c>
      <c r="B55" s="153">
        <f>B21-B40</f>
        <v>0</v>
      </c>
      <c r="C55" s="152">
        <f t="shared" ref="C55:H55" si="16">ROUND(C21-C40,2)</f>
        <v>0</v>
      </c>
      <c r="D55" s="152">
        <f t="shared" si="16"/>
        <v>0</v>
      </c>
      <c r="E55" s="152">
        <f t="shared" si="16"/>
        <v>0</v>
      </c>
      <c r="F55" s="152">
        <f t="shared" si="16"/>
        <v>0</v>
      </c>
      <c r="G55" s="152">
        <f t="shared" si="16"/>
        <v>0</v>
      </c>
      <c r="H55" s="152">
        <f t="shared" si="16"/>
        <v>0</v>
      </c>
    </row>
    <row r="56" ht="14.25" customHeight="1">
      <c r="A56" s="1" t="s">
        <v>467</v>
      </c>
      <c r="B56" s="183"/>
      <c r="C56" s="1" t="str">
        <f t="shared" ref="C56:H56" si="17">IF(C7&lt;=0,"Negative cash",IF(C51&lt;0,"Negative repurchases",IF(ABS(C55)&gt;0.005,"Out of balance","OK")))</f>
        <v>OK</v>
      </c>
      <c r="D56" s="1" t="str">
        <f t="shared" si="17"/>
        <v>OK</v>
      </c>
      <c r="E56" s="1" t="str">
        <f t="shared" si="17"/>
        <v>OK</v>
      </c>
      <c r="F56" s="1" t="str">
        <f t="shared" si="17"/>
        <v>OK</v>
      </c>
      <c r="G56" s="1" t="str">
        <f t="shared" si="17"/>
        <v>OK</v>
      </c>
      <c r="H56" s="1" t="str">
        <f t="shared" si="17"/>
        <v>OK</v>
      </c>
    </row>
    <row r="57" ht="14.25" customHeight="1">
      <c r="A57" s="1"/>
      <c r="B57" s="183"/>
      <c r="C57" s="1"/>
      <c r="D57" s="1"/>
      <c r="E57" s="1"/>
      <c r="F57" s="1"/>
      <c r="G57" s="1"/>
      <c r="H57" s="1"/>
    </row>
    <row r="58" ht="14.25" customHeight="1">
      <c r="A58" s="1" t="s">
        <v>484</v>
      </c>
      <c r="B58" s="186">
        <f t="shared" ref="B58:H58" si="18">SUM(B27:B28,B31)/B39</f>
        <v>0.7882971966</v>
      </c>
      <c r="C58" s="47">
        <f t="shared" si="18"/>
        <v>0.6501072429</v>
      </c>
      <c r="D58" s="47">
        <f t="shared" si="18"/>
        <v>0.5523148041</v>
      </c>
      <c r="E58" s="47">
        <f t="shared" si="18"/>
        <v>0.4788385007</v>
      </c>
      <c r="F58" s="47">
        <f t="shared" si="18"/>
        <v>0.4211465688</v>
      </c>
      <c r="G58" s="47">
        <f t="shared" si="18"/>
        <v>0.374862884</v>
      </c>
      <c r="H58" s="47">
        <f t="shared" si="18"/>
        <v>0.3375992549</v>
      </c>
    </row>
    <row r="59" ht="14.25" customHeight="1">
      <c r="A59" s="1" t="s">
        <v>494</v>
      </c>
      <c r="B59" s="186">
        <f>'E IS Outputs for BS'!B6/B21</f>
        <v>1.207808787</v>
      </c>
      <c r="C59" s="47">
        <f>'E IS Outputs for BS'!C6/C21</f>
        <v>1.209393606</v>
      </c>
      <c r="D59" s="47">
        <f>'E IS Outputs for BS'!D6/D21</f>
        <v>1.210890432</v>
      </c>
      <c r="E59" s="47">
        <f>'E IS Outputs for BS'!E6/E21</f>
        <v>1.21237755</v>
      </c>
      <c r="F59" s="47">
        <f>'E IS Outputs for BS'!F6/F21</f>
        <v>1.213784744</v>
      </c>
      <c r="G59" s="47">
        <f>'E IS Outputs for BS'!G6/G21</f>
        <v>1.215087033</v>
      </c>
      <c r="H59" s="47">
        <f>'E IS Outputs for BS'!H6/H21</f>
        <v>1.21620591</v>
      </c>
    </row>
    <row r="60" ht="14.25" customHeight="1">
      <c r="A60" s="1" t="s">
        <v>497</v>
      </c>
      <c r="B60" s="186">
        <f>'E IS Outputs for BS'!B7/B11</f>
        <v>20.31562823</v>
      </c>
      <c r="C60" s="47">
        <f>'E IS Outputs for BS'!C7/C11</f>
        <v>20.31562823</v>
      </c>
      <c r="D60" s="47">
        <f>'E IS Outputs for BS'!D7/D11</f>
        <v>20.31562823</v>
      </c>
      <c r="E60" s="47">
        <f>'E IS Outputs for BS'!E7/E11</f>
        <v>20.31562823</v>
      </c>
      <c r="F60" s="47">
        <f>'E IS Outputs for BS'!F7/F11</f>
        <v>20.31562823</v>
      </c>
      <c r="G60" s="47">
        <f>'E IS Outputs for BS'!G7/G11</f>
        <v>20.31562823</v>
      </c>
      <c r="H60" s="47">
        <f>'E IS Outputs for BS'!H7/H11</f>
        <v>20.31562823</v>
      </c>
    </row>
    <row r="61" ht="14.25" customHeight="1">
      <c r="A61" s="1" t="s">
        <v>498</v>
      </c>
      <c r="B61" s="186">
        <f>'E IS Outputs for BS'!B7/B24</f>
        <v>3.194795916</v>
      </c>
      <c r="C61" s="47">
        <f>'E IS Outputs for BS'!C7/C24</f>
        <v>3.194795916</v>
      </c>
      <c r="D61" s="47">
        <f>'E IS Outputs for BS'!D7/D24</f>
        <v>3.194795916</v>
      </c>
      <c r="E61" s="47">
        <f>'E IS Outputs for BS'!E7/E24</f>
        <v>3.194795916</v>
      </c>
      <c r="F61" s="47">
        <f>'E IS Outputs for BS'!F7/F24</f>
        <v>3.194795916</v>
      </c>
      <c r="G61" s="47">
        <f>'E IS Outputs for BS'!G7/G24</f>
        <v>3.194795916</v>
      </c>
      <c r="H61" s="47">
        <f>'E IS Outputs for BS'!H7/H24</f>
        <v>3.194795916</v>
      </c>
    </row>
    <row r="62" ht="14.25" customHeight="1">
      <c r="A62" s="1"/>
      <c r="B62" s="1"/>
      <c r="C62" s="1"/>
      <c r="D62" s="1"/>
      <c r="E62" s="1"/>
      <c r="F62" s="1"/>
      <c r="G62" s="1"/>
      <c r="H62" s="1"/>
    </row>
    <row r="63" ht="14.25" customHeight="1">
      <c r="A63" s="135" t="s">
        <v>503</v>
      </c>
      <c r="B63" s="135"/>
      <c r="C63" s="135"/>
      <c r="D63" s="135"/>
      <c r="E63" s="135"/>
      <c r="F63" s="135"/>
      <c r="G63" s="135"/>
      <c r="H63" s="135"/>
    </row>
    <row r="64" ht="14.25" customHeight="1">
      <c r="A64" s="135" t="s">
        <v>504</v>
      </c>
      <c r="B64" s="135"/>
      <c r="C64" s="135"/>
      <c r="D64" s="135"/>
      <c r="E64" s="135"/>
      <c r="F64" s="135"/>
      <c r="G64" s="135"/>
      <c r="H64" s="135"/>
    </row>
    <row r="65" ht="14.25" customHeight="1">
      <c r="A65" s="1"/>
      <c r="B65" s="1"/>
      <c r="C65" s="1"/>
      <c r="D65" s="1"/>
      <c r="E65" s="1"/>
      <c r="F65" s="1"/>
      <c r="G65" s="1"/>
      <c r="H65" s="1"/>
    </row>
    <row r="66" ht="14.25" customHeight="1">
      <c r="A66" s="1"/>
      <c r="B66" s="1"/>
      <c r="C66" s="1"/>
      <c r="D66" s="1"/>
      <c r="E66" s="1"/>
      <c r="F66" s="1"/>
      <c r="G66" s="1"/>
      <c r="H66" s="1"/>
    </row>
    <row r="67" ht="14.25" customHeight="1">
      <c r="A67" s="1"/>
      <c r="B67" s="1"/>
      <c r="C67" s="1"/>
      <c r="D67" s="1"/>
      <c r="E67" s="1"/>
      <c r="F67" s="1"/>
      <c r="G67" s="1"/>
      <c r="H67" s="1"/>
    </row>
    <row r="68" ht="14.25" customHeight="1">
      <c r="A68" s="1"/>
      <c r="B68" s="1"/>
      <c r="C68" s="1"/>
      <c r="D68" s="1"/>
      <c r="E68" s="1"/>
      <c r="F68" s="1"/>
      <c r="G68" s="1"/>
      <c r="H68" s="1"/>
    </row>
    <row r="69" ht="14.25" customHeight="1">
      <c r="A69" s="1"/>
      <c r="B69" s="1"/>
      <c r="C69" s="1"/>
      <c r="D69" s="1"/>
      <c r="E69" s="1"/>
      <c r="F69" s="1"/>
      <c r="G69" s="1"/>
      <c r="H69" s="1"/>
    </row>
    <row r="70" ht="14.25" customHeight="1">
      <c r="A70" s="1"/>
      <c r="B70" s="1"/>
      <c r="C70" s="1"/>
      <c r="D70" s="1"/>
      <c r="E70" s="1"/>
      <c r="F70" s="1"/>
      <c r="G70" s="1"/>
      <c r="H70" s="1"/>
    </row>
    <row r="71" ht="14.25" customHeight="1">
      <c r="A71" s="1"/>
      <c r="B71" s="1"/>
      <c r="C71" s="1"/>
      <c r="D71" s="1"/>
      <c r="E71" s="1"/>
      <c r="F71" s="1"/>
      <c r="G71" s="1"/>
      <c r="H71" s="1"/>
    </row>
    <row r="72" ht="14.25" customHeight="1">
      <c r="A72" s="1"/>
      <c r="B72" s="1"/>
      <c r="C72" s="1"/>
      <c r="D72" s="1"/>
      <c r="E72" s="1"/>
      <c r="F72" s="1"/>
      <c r="G72" s="1"/>
      <c r="H72" s="1"/>
    </row>
    <row r="73" ht="14.25" customHeight="1">
      <c r="A73" s="1"/>
      <c r="B73" s="1"/>
      <c r="C73" s="1"/>
      <c r="D73" s="1"/>
      <c r="E73" s="1"/>
      <c r="F73" s="1"/>
      <c r="G73" s="1"/>
      <c r="H73" s="1"/>
    </row>
    <row r="74" ht="14.25" customHeight="1">
      <c r="A74" s="1"/>
      <c r="B74" s="1"/>
      <c r="C74" s="1"/>
      <c r="D74" s="1"/>
      <c r="E74" s="1"/>
      <c r="F74" s="1"/>
      <c r="G74" s="1"/>
      <c r="H74" s="1"/>
    </row>
    <row r="75" ht="14.25" customHeight="1">
      <c r="A75" s="1"/>
      <c r="B75" s="1"/>
      <c r="C75" s="1"/>
      <c r="D75" s="1"/>
      <c r="E75" s="1"/>
      <c r="F75" s="1"/>
      <c r="G75" s="1"/>
      <c r="H75" s="1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7A5B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0.0"/>
    <col customWidth="1" min="2" max="8" width="19.0"/>
    <col customWidth="1" min="9" max="9" width="9.0"/>
    <col customWidth="1" min="10" max="10" width="32.0"/>
    <col customWidth="1" min="11" max="11" width="20.0"/>
    <col customWidth="1" min="12" max="12" width="58.0"/>
    <col customWidth="1" min="13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</row>
    <row r="2" ht="31.5" customHeight="1">
      <c r="A2" s="133" t="s">
        <v>362</v>
      </c>
      <c r="B2" s="133"/>
      <c r="C2" s="133"/>
      <c r="D2" s="133"/>
      <c r="E2" s="133"/>
      <c r="F2" s="133"/>
      <c r="G2" s="133"/>
      <c r="H2" s="133"/>
    </row>
    <row r="3" ht="14.25" customHeight="1">
      <c r="A3" s="135" t="s">
        <v>363</v>
      </c>
      <c r="B3" s="135"/>
      <c r="C3" s="135"/>
      <c r="D3" s="135"/>
      <c r="E3" s="135"/>
      <c r="F3" s="135"/>
      <c r="G3" s="135"/>
      <c r="H3" s="135"/>
    </row>
    <row r="4" ht="14.25" customHeight="1">
      <c r="A4" s="1"/>
      <c r="B4" s="1"/>
      <c r="C4" s="1"/>
      <c r="D4" s="1"/>
      <c r="E4" s="1"/>
      <c r="F4" s="1"/>
      <c r="G4" s="1"/>
      <c r="H4" s="1"/>
    </row>
    <row r="5" ht="14.25" customHeight="1">
      <c r="A5" s="6" t="s">
        <v>280</v>
      </c>
      <c r="B5" s="6" t="s">
        <v>355</v>
      </c>
      <c r="C5" s="6" t="s">
        <v>228</v>
      </c>
      <c r="D5" s="6" t="s">
        <v>230</v>
      </c>
      <c r="E5" s="6" t="s">
        <v>232</v>
      </c>
      <c r="F5" s="6" t="s">
        <v>234</v>
      </c>
      <c r="G5" s="6" t="s">
        <v>235</v>
      </c>
      <c r="H5" s="6" t="s">
        <v>236</v>
      </c>
      <c r="J5" s="6" t="s">
        <v>364</v>
      </c>
      <c r="K5" s="6" t="s">
        <v>365</v>
      </c>
      <c r="L5" s="6" t="s">
        <v>231</v>
      </c>
    </row>
    <row r="6" ht="14.25" customHeight="1">
      <c r="A6" s="1" t="s">
        <v>41</v>
      </c>
      <c r="B6" s="1"/>
      <c r="C6" s="146">
        <f>'G Annual BS Forecast'!C48</f>
        <v>145364.7724</v>
      </c>
      <c r="D6" s="146">
        <f>'G Annual BS Forecast'!D48</f>
        <v>159222.9757</v>
      </c>
      <c r="E6" s="146">
        <f>'G Annual BS Forecast'!E48</f>
        <v>172975.9025</v>
      </c>
      <c r="F6" s="146">
        <f>'G Annual BS Forecast'!F48</f>
        <v>186642.3943</v>
      </c>
      <c r="G6" s="146">
        <f>'G Annual BS Forecast'!G48</f>
        <v>200073.2577</v>
      </c>
      <c r="H6" s="146">
        <f>'G Annual BS Forecast'!H48</f>
        <v>212774.8569</v>
      </c>
      <c r="J6" s="121" t="s">
        <v>366</v>
      </c>
      <c r="K6" s="149">
        <v>0.08</v>
      </c>
      <c r="L6" s="121" t="s">
        <v>367</v>
      </c>
    </row>
    <row r="7" ht="14.25" customHeight="1">
      <c r="A7" s="1" t="s">
        <v>368</v>
      </c>
      <c r="B7" s="1"/>
      <c r="C7" s="146">
        <f>'G Annual BS Forecast'!B39</f>
        <v>106995.1794</v>
      </c>
      <c r="D7" s="146">
        <f>'G Annual BS Forecast'!C39</f>
        <v>125846.4367</v>
      </c>
      <c r="E7" s="146">
        <f>'G Annual BS Forecast'!D39</f>
        <v>143684.8497</v>
      </c>
      <c r="F7" s="146">
        <f>'G Annual BS Forecast'!E39</f>
        <v>160760.8649</v>
      </c>
      <c r="G7" s="146">
        <f>'G Annual BS Forecast'!F39</f>
        <v>177299.6441</v>
      </c>
      <c r="H7" s="146">
        <f>'G Annual BS Forecast'!G39</f>
        <v>193214.8147</v>
      </c>
      <c r="J7" s="121" t="s">
        <v>369</v>
      </c>
      <c r="K7" s="149">
        <v>0.03</v>
      </c>
      <c r="L7" s="121" t="s">
        <v>370</v>
      </c>
    </row>
    <row r="8" ht="14.25" customHeight="1">
      <c r="A8" s="1" t="s">
        <v>371</v>
      </c>
      <c r="B8" s="146">
        <f>'G Annual BS Forecast'!B39</f>
        <v>106995.1794</v>
      </c>
      <c r="C8" s="146">
        <f>'G Annual BS Forecast'!C39</f>
        <v>125846.4367</v>
      </c>
      <c r="D8" s="146">
        <f>'G Annual BS Forecast'!D39</f>
        <v>143684.8497</v>
      </c>
      <c r="E8" s="146">
        <f>'G Annual BS Forecast'!E39</f>
        <v>160760.8649</v>
      </c>
      <c r="F8" s="146">
        <f>'G Annual BS Forecast'!F39</f>
        <v>177299.6441</v>
      </c>
      <c r="G8" s="146">
        <f>'G Annual BS Forecast'!G39</f>
        <v>193214.8147</v>
      </c>
      <c r="H8" s="146">
        <f>'G Annual BS Forecast'!H39</f>
        <v>208105.2898</v>
      </c>
      <c r="J8" s="121" t="s">
        <v>372</v>
      </c>
      <c r="K8" s="150">
        <f>'A1 Income Statement'!F30</f>
        <v>14650</v>
      </c>
      <c r="L8" s="121" t="s">
        <v>373</v>
      </c>
    </row>
    <row r="9" ht="14.25" customHeight="1">
      <c r="A9" s="1" t="s">
        <v>374</v>
      </c>
      <c r="B9" s="1"/>
      <c r="C9" s="146">
        <f t="shared" ref="C9:H9" si="1">C8-C7</f>
        <v>18851.25729</v>
      </c>
      <c r="D9" s="146">
        <f t="shared" si="1"/>
        <v>17838.41295</v>
      </c>
      <c r="E9" s="146">
        <f t="shared" si="1"/>
        <v>17076.01523</v>
      </c>
      <c r="F9" s="146">
        <f t="shared" si="1"/>
        <v>16538.77923</v>
      </c>
      <c r="G9" s="146">
        <f t="shared" si="1"/>
        <v>15915.17057</v>
      </c>
      <c r="H9" s="146">
        <f t="shared" si="1"/>
        <v>14890.47516</v>
      </c>
      <c r="J9" s="121" t="s">
        <v>376</v>
      </c>
      <c r="K9" s="151">
        <v>332.89</v>
      </c>
      <c r="L9" s="121" t="s">
        <v>377</v>
      </c>
    </row>
    <row r="10" ht="14.25" customHeight="1">
      <c r="A10" s="18" t="s">
        <v>379</v>
      </c>
      <c r="B10" s="18"/>
      <c r="C10" s="152">
        <f t="shared" ref="C10:H10" si="2">C6-C9</f>
        <v>126513.5151</v>
      </c>
      <c r="D10" s="152">
        <f t="shared" si="2"/>
        <v>141384.5628</v>
      </c>
      <c r="E10" s="152">
        <f t="shared" si="2"/>
        <v>155899.8873</v>
      </c>
      <c r="F10" s="152">
        <f t="shared" si="2"/>
        <v>170103.615</v>
      </c>
      <c r="G10" s="152">
        <f t="shared" si="2"/>
        <v>184158.0871</v>
      </c>
      <c r="H10" s="152">
        <f t="shared" si="2"/>
        <v>197884.3817</v>
      </c>
      <c r="J10" s="121" t="s">
        <v>381</v>
      </c>
      <c r="K10" s="121" t="s">
        <v>382</v>
      </c>
    </row>
    <row r="11" ht="14.25" customHeight="1">
      <c r="A11" s="1" t="s">
        <v>383</v>
      </c>
      <c r="B11" s="1"/>
      <c r="C11" s="146">
        <f>'G Annual BS Forecast'!C49</f>
        <v>16202.93</v>
      </c>
      <c r="D11" s="146">
        <f>'G Annual BS Forecast'!D49</f>
        <v>16689.0179</v>
      </c>
      <c r="E11" s="146">
        <f>'G Annual BS Forecast'!E49</f>
        <v>17189.68844</v>
      </c>
      <c r="F11" s="146">
        <f>'G Annual BS Forecast'!F49</f>
        <v>17705.37909</v>
      </c>
      <c r="G11" s="146">
        <f>'G Annual BS Forecast'!G49</f>
        <v>18236.54046</v>
      </c>
      <c r="H11" s="146">
        <f>'G Annual BS Forecast'!H49</f>
        <v>18783.63668</v>
      </c>
    </row>
    <row r="12" ht="14.25" customHeight="1">
      <c r="A12" s="1" t="s">
        <v>385</v>
      </c>
      <c r="B12" s="1"/>
      <c r="C12" s="146">
        <f>'G Annual BS Forecast'!C51</f>
        <v>110310.5851</v>
      </c>
      <c r="D12" s="146">
        <f>'G Annual BS Forecast'!D51</f>
        <v>124695.5449</v>
      </c>
      <c r="E12" s="146">
        <f>'G Annual BS Forecast'!E51</f>
        <v>138710.1988</v>
      </c>
      <c r="F12" s="146">
        <f>'G Annual BS Forecast'!F51</f>
        <v>152398.2359</v>
      </c>
      <c r="G12" s="146">
        <f>'G Annual BS Forecast'!G51</f>
        <v>165921.5466</v>
      </c>
      <c r="H12" s="146">
        <f>'G Annual BS Forecast'!H51</f>
        <v>179100.745</v>
      </c>
    </row>
    <row r="13" ht="14.25" customHeight="1">
      <c r="A13" s="1" t="s">
        <v>388</v>
      </c>
      <c r="B13" s="1"/>
      <c r="C13" s="146">
        <f t="shared" ref="C13:H13" si="3">ROUND(C10-C11-C12,2)</f>
        <v>0</v>
      </c>
      <c r="D13" s="146">
        <f t="shared" si="3"/>
        <v>0</v>
      </c>
      <c r="E13" s="146">
        <f t="shared" si="3"/>
        <v>0</v>
      </c>
      <c r="F13" s="146">
        <f t="shared" si="3"/>
        <v>0</v>
      </c>
      <c r="G13" s="146">
        <f t="shared" si="3"/>
        <v>0</v>
      </c>
      <c r="H13" s="146">
        <f t="shared" si="3"/>
        <v>0</v>
      </c>
    </row>
    <row r="14" ht="14.25" customHeight="1">
      <c r="A14" s="1" t="s">
        <v>391</v>
      </c>
      <c r="B14" s="1"/>
      <c r="C14" s="156">
        <f>1/(1+$K$6)^1</f>
        <v>0.9259259259</v>
      </c>
      <c r="D14" s="156">
        <f>1/(1+$K$6)^2</f>
        <v>0.8573388203</v>
      </c>
      <c r="E14" s="156">
        <f>1/(1+$K$6)^3</f>
        <v>0.793832241</v>
      </c>
      <c r="F14" s="156">
        <f>1/(1+$K$6)^4</f>
        <v>0.7350298528</v>
      </c>
      <c r="G14" s="156">
        <f>1/(1+$K$6)^5</f>
        <v>0.680583197</v>
      </c>
      <c r="H14" s="156">
        <f>1/(1+$K$6)^6</f>
        <v>0.6301696269</v>
      </c>
      <c r="J14" s="121" t="s">
        <v>394</v>
      </c>
      <c r="K14" s="157">
        <f>H6*(1+$K$7)</f>
        <v>219158.1026</v>
      </c>
    </row>
    <row r="15" ht="14.25" customHeight="1">
      <c r="A15" s="18" t="s">
        <v>395</v>
      </c>
      <c r="B15" s="18"/>
      <c r="C15" s="152">
        <f t="shared" ref="C15:H15" si="4">C10*C14</f>
        <v>117142.1436</v>
      </c>
      <c r="D15" s="152">
        <f t="shared" si="4"/>
        <v>121214.4743</v>
      </c>
      <c r="E15" s="152">
        <f t="shared" si="4"/>
        <v>123758.3569</v>
      </c>
      <c r="F15" s="152">
        <f t="shared" si="4"/>
        <v>125031.2351</v>
      </c>
      <c r="G15" s="152">
        <f t="shared" si="4"/>
        <v>125334.8997</v>
      </c>
      <c r="H15" s="152">
        <f t="shared" si="4"/>
        <v>124700.727</v>
      </c>
      <c r="J15" s="121" t="s">
        <v>397</v>
      </c>
      <c r="K15" s="157">
        <f>H8*$K$7</f>
        <v>6243.158695</v>
      </c>
    </row>
    <row r="16" ht="14.25" customHeight="1">
      <c r="A16" s="1"/>
      <c r="B16" s="1"/>
      <c r="C16" s="1"/>
      <c r="D16" s="1"/>
      <c r="E16" s="1"/>
      <c r="F16" s="1"/>
      <c r="G16" s="1"/>
      <c r="H16" s="1"/>
      <c r="J16" s="121" t="s">
        <v>398</v>
      </c>
      <c r="K16" s="157">
        <f>K14-K15</f>
        <v>212914.9439</v>
      </c>
    </row>
    <row r="17" ht="14.25" customHeight="1">
      <c r="A17" s="1"/>
      <c r="B17" s="1"/>
      <c r="C17" s="1"/>
      <c r="D17" s="1"/>
      <c r="E17" s="1"/>
      <c r="F17" s="1"/>
      <c r="G17" s="1"/>
      <c r="H17" s="1"/>
      <c r="J17" s="121" t="s">
        <v>400</v>
      </c>
      <c r="K17" s="157">
        <f>K16/($K$6-$K$7)</f>
        <v>4258298.878</v>
      </c>
    </row>
    <row r="18" ht="14.25" customHeight="1">
      <c r="A18" s="1"/>
      <c r="B18" s="1"/>
      <c r="C18" s="1"/>
      <c r="D18" s="1"/>
      <c r="E18" s="1"/>
      <c r="F18" s="1"/>
      <c r="G18" s="1"/>
      <c r="H18" s="1"/>
      <c r="J18" s="121" t="s">
        <v>403</v>
      </c>
      <c r="K18" s="157">
        <f>K17*H14</f>
        <v>2683450.615</v>
      </c>
    </row>
    <row r="19" ht="14.25" customHeight="1">
      <c r="A19" s="1"/>
      <c r="B19" s="1"/>
      <c r="C19" s="1"/>
      <c r="D19" s="1"/>
      <c r="E19" s="1"/>
      <c r="F19" s="1"/>
      <c r="G19" s="1"/>
      <c r="H19" s="1"/>
      <c r="J19" s="121" t="s">
        <v>405</v>
      </c>
      <c r="K19" s="157">
        <f>SUM(C15:H15)</f>
        <v>737181.8366</v>
      </c>
    </row>
    <row r="20" ht="14.25" customHeight="1">
      <c r="A20" s="1"/>
      <c r="B20" s="1"/>
      <c r="C20" s="1"/>
      <c r="D20" s="1"/>
      <c r="E20" s="1"/>
      <c r="F20" s="1"/>
      <c r="G20" s="1"/>
      <c r="H20" s="1"/>
      <c r="J20" s="159" t="s">
        <v>407</v>
      </c>
      <c r="K20" s="160">
        <f>K18+K19</f>
        <v>3420632.451</v>
      </c>
    </row>
    <row r="21" ht="14.25" customHeight="1">
      <c r="A21" s="1"/>
      <c r="B21" s="1"/>
      <c r="C21" s="1"/>
      <c r="D21" s="1"/>
      <c r="E21" s="1"/>
      <c r="F21" s="1"/>
      <c r="G21" s="1"/>
      <c r="H21" s="1"/>
      <c r="J21" s="159" t="s">
        <v>409</v>
      </c>
      <c r="K21" s="162">
        <f>K20/$K$8</f>
        <v>233.4902697</v>
      </c>
    </row>
    <row r="22" ht="14.25" customHeight="1">
      <c r="A22" s="1"/>
      <c r="B22" s="1"/>
      <c r="C22" s="1"/>
      <c r="D22" s="1"/>
      <c r="E22" s="1"/>
      <c r="F22" s="1"/>
      <c r="G22" s="1"/>
      <c r="H22" s="1"/>
      <c r="J22" s="121" t="s">
        <v>410</v>
      </c>
      <c r="K22" s="149">
        <f>K21/$K$9-1</f>
        <v>-0.298596324</v>
      </c>
    </row>
    <row r="23" ht="14.25" customHeight="1">
      <c r="A23" s="1"/>
      <c r="B23" s="1"/>
      <c r="C23" s="1"/>
      <c r="D23" s="1"/>
      <c r="E23" s="1"/>
      <c r="F23" s="1"/>
      <c r="G23" s="1"/>
      <c r="H23" s="1"/>
      <c r="J23" s="121" t="s">
        <v>411</v>
      </c>
      <c r="K23" s="149">
        <f>K18/K20</f>
        <v>0.7844896091</v>
      </c>
    </row>
    <row r="24" ht="14.25" customHeight="1">
      <c r="A24" s="1"/>
      <c r="B24" s="1"/>
      <c r="C24" s="1"/>
      <c r="D24" s="1"/>
      <c r="E24" s="1"/>
      <c r="F24" s="1"/>
      <c r="G24" s="1"/>
      <c r="H24" s="1"/>
    </row>
    <row r="25" ht="14.25" customHeight="1">
      <c r="A25" s="1"/>
      <c r="B25" s="1"/>
      <c r="C25" s="1"/>
      <c r="D25" s="1"/>
      <c r="E25" s="1"/>
      <c r="F25" s="1"/>
      <c r="G25" s="1"/>
      <c r="H25" s="1"/>
    </row>
    <row r="26" ht="22.5" customHeight="1">
      <c r="A26" s="9" t="s">
        <v>412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ht="14.25" customHeight="1">
      <c r="A27" s="1"/>
      <c r="B27" s="1"/>
      <c r="C27" s="1"/>
      <c r="D27" s="1"/>
      <c r="E27" s="1"/>
      <c r="F27" s="1"/>
      <c r="G27" s="1"/>
      <c r="H27" s="1"/>
      <c r="J27" s="121" t="s">
        <v>415</v>
      </c>
      <c r="K27" s="121" t="s">
        <v>416</v>
      </c>
    </row>
    <row r="28" ht="14.25" customHeight="1">
      <c r="A28" s="1"/>
      <c r="B28" s="1"/>
      <c r="C28" s="1"/>
      <c r="D28" s="1"/>
      <c r="E28" s="1"/>
      <c r="F28" s="1"/>
      <c r="G28" s="1"/>
      <c r="H28" s="1"/>
      <c r="J28" s="149">
        <v>0.02</v>
      </c>
      <c r="K28" s="151">
        <f>($K$19+(H6*(1+J28)-H8*J28)/($K$6-J28)*H14)/$K$8</f>
        <v>202.9283444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J29" s="149">
        <v>0.03</v>
      </c>
      <c r="K29" s="151">
        <f>($K$19+(H6*(1+J29)-H8*J29)/($K$6-J29)*H14)/$K$8</f>
        <v>233.4902697</v>
      </c>
    </row>
    <row r="30" ht="14.25" customHeight="1">
      <c r="A30" s="1"/>
      <c r="B30" s="1"/>
      <c r="C30" s="1"/>
      <c r="D30" s="1"/>
      <c r="E30" s="1"/>
      <c r="F30" s="1"/>
      <c r="G30" s="1"/>
      <c r="H30" s="1"/>
      <c r="J30" s="149">
        <v>0.04</v>
      </c>
      <c r="K30" s="151">
        <f>($K$19+(H6*(1+J30)-H8*J30)/($K$6-J30)*H14)/$K$8</f>
        <v>279.3331577</v>
      </c>
    </row>
    <row r="31" ht="14.25" customHeight="1">
      <c r="A31" s="1"/>
      <c r="B31" s="1"/>
      <c r="C31" s="1"/>
      <c r="D31" s="1"/>
      <c r="E31" s="1"/>
      <c r="F31" s="1"/>
      <c r="G31" s="1"/>
      <c r="H31" s="1"/>
    </row>
    <row r="32" ht="49.5" customHeight="1">
      <c r="A32" s="1"/>
      <c r="B32" s="1"/>
      <c r="C32" s="1"/>
      <c r="D32" s="1"/>
      <c r="E32" s="1"/>
      <c r="F32" s="1"/>
      <c r="G32" s="1"/>
      <c r="H32" s="1"/>
      <c r="J32" s="121" t="s">
        <v>431</v>
      </c>
      <c r="L32" s="163" t="s">
        <v>432</v>
      </c>
    </row>
    <row r="33" ht="49.5" customHeight="1">
      <c r="A33" s="1"/>
      <c r="B33" s="1"/>
      <c r="C33" s="1"/>
      <c r="D33" s="1"/>
      <c r="E33" s="1"/>
      <c r="F33" s="1"/>
      <c r="G33" s="1"/>
      <c r="H33" s="1"/>
      <c r="J33" s="121" t="s">
        <v>433</v>
      </c>
      <c r="L33" s="163" t="s">
        <v>434</v>
      </c>
    </row>
    <row r="34" ht="14.25" customHeight="1">
      <c r="A34" s="1"/>
      <c r="B34" s="1"/>
      <c r="C34" s="1"/>
      <c r="D34" s="1"/>
      <c r="E34" s="1"/>
      <c r="F34" s="1"/>
      <c r="G34" s="1"/>
      <c r="H34" s="1"/>
      <c r="J34" s="121" t="s">
        <v>435</v>
      </c>
      <c r="L34" s="121" t="s">
        <v>436</v>
      </c>
    </row>
    <row r="35" ht="14.25" customHeight="1">
      <c r="A35" s="1"/>
      <c r="B35" s="1"/>
      <c r="C35" s="1"/>
      <c r="D35" s="1"/>
      <c r="E35" s="1"/>
      <c r="F35" s="1"/>
      <c r="G35" s="1"/>
      <c r="H35" s="1"/>
    </row>
    <row r="36" ht="14.25" customHeight="1">
      <c r="A36" s="1"/>
      <c r="B36" s="1"/>
      <c r="C36" s="1"/>
      <c r="D36" s="1"/>
      <c r="E36" s="1"/>
      <c r="F36" s="1"/>
      <c r="G36" s="1"/>
      <c r="H36" s="1"/>
    </row>
    <row r="37" ht="14.25" customHeight="1">
      <c r="A37" s="1"/>
      <c r="B37" s="1"/>
      <c r="C37" s="1"/>
      <c r="D37" s="1"/>
      <c r="E37" s="1"/>
      <c r="F37" s="1"/>
      <c r="G37" s="1"/>
      <c r="H37" s="1"/>
    </row>
    <row r="38" ht="14.25" customHeight="1">
      <c r="A38" s="1"/>
      <c r="B38" s="1"/>
      <c r="C38" s="1"/>
      <c r="D38" s="1"/>
      <c r="E38" s="1"/>
      <c r="F38" s="1"/>
      <c r="G38" s="1"/>
      <c r="H38" s="1"/>
    </row>
    <row r="39" ht="14.25" customHeight="1">
      <c r="A39" s="1"/>
      <c r="B39" s="1"/>
      <c r="C39" s="1"/>
      <c r="D39" s="1"/>
      <c r="E39" s="1"/>
      <c r="F39" s="1"/>
      <c r="G39" s="1"/>
      <c r="H39" s="1"/>
    </row>
    <row r="40" ht="14.25" customHeight="1">
      <c r="A40" s="1"/>
      <c r="B40" s="1"/>
      <c r="C40" s="1"/>
      <c r="D40" s="1"/>
      <c r="E40" s="1"/>
      <c r="F40" s="1"/>
      <c r="G40" s="1"/>
      <c r="H40" s="1"/>
    </row>
    <row r="41" ht="14.25" customHeight="1">
      <c r="A41" s="1"/>
      <c r="B41" s="1"/>
      <c r="C41" s="1"/>
      <c r="D41" s="1"/>
      <c r="E41" s="1"/>
      <c r="F41" s="1"/>
      <c r="G41" s="1"/>
      <c r="H41" s="1"/>
    </row>
    <row r="42" ht="14.25" customHeight="1">
      <c r="A42" s="1"/>
      <c r="B42" s="1"/>
      <c r="C42" s="1"/>
      <c r="D42" s="1"/>
      <c r="E42" s="1"/>
      <c r="F42" s="1"/>
      <c r="G42" s="1"/>
      <c r="H42" s="1"/>
    </row>
    <row r="43" ht="14.25" customHeight="1">
      <c r="A43" s="1"/>
      <c r="B43" s="1"/>
      <c r="C43" s="1"/>
      <c r="D43" s="1"/>
      <c r="E43" s="1"/>
      <c r="F43" s="1"/>
      <c r="G43" s="1"/>
      <c r="H43" s="1"/>
    </row>
    <row r="44" ht="14.25" customHeight="1">
      <c r="A44" s="1"/>
      <c r="B44" s="1"/>
      <c r="C44" s="1"/>
      <c r="D44" s="1"/>
      <c r="E44" s="1"/>
      <c r="F44" s="1"/>
      <c r="G44" s="1"/>
      <c r="H44" s="1"/>
    </row>
    <row r="45" ht="14.25" customHeight="1">
      <c r="A45" s="1"/>
      <c r="B45" s="1"/>
      <c r="C45" s="1"/>
      <c r="D45" s="1"/>
      <c r="E45" s="1"/>
      <c r="F45" s="1"/>
      <c r="G45" s="1"/>
      <c r="H45" s="1"/>
    </row>
    <row r="46" ht="14.25" customHeight="1">
      <c r="A46" s="1"/>
      <c r="B46" s="1"/>
      <c r="C46" s="1"/>
      <c r="D46" s="1"/>
      <c r="E46" s="1"/>
      <c r="F46" s="1"/>
      <c r="G46" s="1"/>
      <c r="H46" s="1"/>
    </row>
    <row r="47" ht="14.25" customHeight="1">
      <c r="A47" s="1"/>
      <c r="B47" s="1"/>
      <c r="C47" s="1"/>
      <c r="D47" s="1"/>
      <c r="E47" s="1"/>
      <c r="F47" s="1"/>
      <c r="G47" s="1"/>
      <c r="H47" s="1"/>
    </row>
    <row r="48" ht="14.25" customHeight="1">
      <c r="A48" s="1"/>
      <c r="B48" s="1"/>
      <c r="C48" s="1"/>
      <c r="D48" s="1"/>
      <c r="E48" s="1"/>
      <c r="F48" s="1"/>
      <c r="G48" s="1"/>
      <c r="H48" s="1"/>
    </row>
    <row r="49" ht="14.25" customHeight="1">
      <c r="A49" s="1"/>
      <c r="B49" s="1"/>
      <c r="C49" s="1"/>
      <c r="D49" s="1"/>
      <c r="E49" s="1"/>
      <c r="F49" s="1"/>
      <c r="G49" s="1"/>
      <c r="H49" s="1"/>
    </row>
    <row r="50" ht="14.25" customHeight="1">
      <c r="A50" s="1"/>
      <c r="B50" s="1"/>
      <c r="C50" s="1"/>
      <c r="D50" s="1"/>
      <c r="E50" s="1"/>
      <c r="F50" s="1"/>
      <c r="G50" s="1"/>
      <c r="H50" s="1"/>
    </row>
    <row r="51" ht="14.25" customHeight="1">
      <c r="A51" s="1"/>
      <c r="B51" s="1"/>
      <c r="C51" s="1"/>
      <c r="D51" s="1"/>
      <c r="E51" s="1"/>
      <c r="F51" s="1"/>
      <c r="G51" s="1"/>
      <c r="H51" s="1"/>
    </row>
    <row r="52" ht="14.25" customHeight="1">
      <c r="A52" s="1"/>
      <c r="B52" s="1"/>
      <c r="C52" s="1"/>
      <c r="D52" s="1"/>
      <c r="E52" s="1"/>
      <c r="F52" s="1"/>
      <c r="G52" s="1"/>
      <c r="H52" s="1"/>
    </row>
    <row r="53" ht="14.25" customHeight="1">
      <c r="A53" s="1"/>
      <c r="B53" s="1"/>
      <c r="C53" s="1"/>
      <c r="D53" s="1"/>
      <c r="E53" s="1"/>
      <c r="F53" s="1"/>
      <c r="G53" s="1"/>
      <c r="H53" s="1"/>
    </row>
    <row r="54" ht="14.25" customHeight="1">
      <c r="A54" s="1"/>
      <c r="B54" s="1"/>
      <c r="C54" s="1"/>
      <c r="D54" s="1"/>
      <c r="E54" s="1"/>
      <c r="F54" s="1"/>
      <c r="G54" s="1"/>
      <c r="H54" s="1"/>
    </row>
    <row r="55" ht="14.25" customHeight="1">
      <c r="A55" s="1"/>
      <c r="B55" s="1"/>
      <c r="C55" s="1"/>
      <c r="D55" s="1"/>
      <c r="E55" s="1"/>
      <c r="F55" s="1"/>
      <c r="G55" s="1"/>
      <c r="H55" s="1"/>
    </row>
    <row r="56" ht="14.25" customHeight="1">
      <c r="A56" s="1"/>
      <c r="B56" s="1"/>
      <c r="C56" s="1"/>
      <c r="D56" s="1"/>
      <c r="E56" s="1"/>
      <c r="F56" s="1"/>
      <c r="G56" s="1"/>
      <c r="H56" s="1"/>
    </row>
    <row r="57" ht="14.25" customHeight="1">
      <c r="A57" s="1"/>
      <c r="B57" s="1"/>
      <c r="C57" s="1"/>
      <c r="D57" s="1"/>
      <c r="E57" s="1"/>
      <c r="F57" s="1"/>
      <c r="G57" s="1"/>
      <c r="H57" s="1"/>
    </row>
    <row r="58" ht="14.25" customHeight="1">
      <c r="A58" s="1"/>
      <c r="B58" s="1"/>
      <c r="C58" s="1"/>
      <c r="D58" s="1"/>
      <c r="E58" s="1"/>
      <c r="F58" s="1"/>
      <c r="G58" s="1"/>
      <c r="H58" s="1"/>
    </row>
    <row r="59" ht="14.25" customHeight="1">
      <c r="A59" s="1"/>
      <c r="B59" s="1"/>
      <c r="C59" s="1"/>
      <c r="D59" s="1"/>
      <c r="E59" s="1"/>
      <c r="F59" s="1"/>
      <c r="G59" s="1"/>
      <c r="H59" s="1"/>
    </row>
    <row r="60" ht="14.25" customHeight="1">
      <c r="A60" s="1"/>
      <c r="B60" s="1"/>
      <c r="C60" s="1"/>
      <c r="D60" s="1"/>
      <c r="E60" s="1"/>
      <c r="F60" s="1"/>
      <c r="G60" s="1"/>
      <c r="H60" s="1"/>
    </row>
    <row r="61" ht="14.25" customHeight="1">
      <c r="A61" s="1"/>
      <c r="B61" s="1"/>
      <c r="C61" s="1"/>
      <c r="D61" s="1"/>
      <c r="E61" s="1"/>
      <c r="F61" s="1"/>
      <c r="G61" s="1"/>
      <c r="H61" s="1"/>
    </row>
    <row r="62" ht="14.25" customHeight="1">
      <c r="A62" s="1"/>
      <c r="B62" s="1"/>
      <c r="C62" s="1"/>
      <c r="D62" s="1"/>
      <c r="E62" s="1"/>
      <c r="F62" s="1"/>
      <c r="G62" s="1"/>
      <c r="H62" s="1"/>
    </row>
    <row r="63" ht="14.25" customHeight="1">
      <c r="A63" s="1"/>
      <c r="B63" s="1"/>
      <c r="C63" s="1"/>
      <c r="D63" s="1"/>
      <c r="E63" s="1"/>
      <c r="F63" s="1"/>
      <c r="G63" s="1"/>
      <c r="H63" s="1"/>
    </row>
    <row r="64" ht="14.25" customHeight="1">
      <c r="A64" s="1"/>
      <c r="B64" s="1"/>
      <c r="C64" s="1"/>
      <c r="D64" s="1"/>
      <c r="E64" s="1"/>
      <c r="F64" s="1"/>
      <c r="G64" s="1"/>
      <c r="H64" s="1"/>
    </row>
    <row r="65" ht="14.25" customHeight="1">
      <c r="A65" s="1"/>
      <c r="B65" s="1"/>
      <c r="C65" s="1"/>
      <c r="D65" s="1"/>
      <c r="E65" s="1"/>
      <c r="F65" s="1"/>
      <c r="G65" s="1"/>
      <c r="H65" s="1"/>
    </row>
    <row r="66" ht="14.25" customHeight="1">
      <c r="A66" s="1"/>
      <c r="B66" s="1"/>
      <c r="C66" s="1"/>
      <c r="D66" s="1"/>
      <c r="E66" s="1"/>
      <c r="F66" s="1"/>
      <c r="G66" s="1"/>
      <c r="H66" s="1"/>
    </row>
    <row r="67" ht="14.25" customHeight="1">
      <c r="A67" s="1"/>
      <c r="B67" s="1"/>
      <c r="C67" s="1"/>
      <c r="D67" s="1"/>
      <c r="E67" s="1"/>
      <c r="F67" s="1"/>
      <c r="G67" s="1"/>
      <c r="H67" s="1"/>
    </row>
    <row r="68" ht="14.25" customHeight="1">
      <c r="A68" s="1"/>
      <c r="B68" s="1"/>
      <c r="C68" s="1"/>
      <c r="D68" s="1"/>
      <c r="E68" s="1"/>
      <c r="F68" s="1"/>
      <c r="G68" s="1"/>
      <c r="H68" s="1"/>
    </row>
    <row r="69" ht="14.25" customHeight="1">
      <c r="A69" s="1"/>
      <c r="B69" s="1"/>
      <c r="C69" s="1"/>
      <c r="D69" s="1"/>
      <c r="E69" s="1"/>
      <c r="F69" s="1"/>
      <c r="G69" s="1"/>
      <c r="H69" s="1"/>
    </row>
    <row r="70" ht="14.25" customHeight="1">
      <c r="A70" s="1"/>
      <c r="B70" s="1"/>
      <c r="C70" s="1"/>
      <c r="D70" s="1"/>
      <c r="E70" s="1"/>
      <c r="F70" s="1"/>
      <c r="G70" s="1"/>
      <c r="H70" s="1"/>
    </row>
    <row r="71" ht="14.25" customHeight="1">
      <c r="A71" s="1"/>
      <c r="B71" s="1"/>
      <c r="C71" s="1"/>
      <c r="D71" s="1"/>
      <c r="E71" s="1"/>
      <c r="F71" s="1"/>
      <c r="G71" s="1"/>
      <c r="H71" s="1"/>
    </row>
    <row r="72" ht="14.25" customHeight="1">
      <c r="A72" s="1"/>
      <c r="B72" s="1"/>
      <c r="C72" s="1"/>
      <c r="D72" s="1"/>
      <c r="E72" s="1"/>
      <c r="F72" s="1"/>
      <c r="G72" s="1"/>
      <c r="H72" s="1"/>
    </row>
    <row r="73" ht="14.25" customHeight="1">
      <c r="A73" s="1"/>
      <c r="B73" s="1"/>
      <c r="C73" s="1"/>
      <c r="D73" s="1"/>
      <c r="E73" s="1"/>
      <c r="F73" s="1"/>
      <c r="G73" s="1"/>
      <c r="H73" s="1"/>
    </row>
    <row r="74" ht="14.25" customHeight="1">
      <c r="A74" s="1"/>
      <c r="B74" s="1"/>
      <c r="C74" s="1"/>
      <c r="D74" s="1"/>
      <c r="E74" s="1"/>
      <c r="F74" s="1"/>
      <c r="G74" s="1"/>
      <c r="H74" s="1"/>
    </row>
    <row r="75" ht="14.25" customHeight="1">
      <c r="A75" s="1"/>
      <c r="B75" s="1"/>
      <c r="C75" s="1"/>
      <c r="D75" s="1"/>
      <c r="E75" s="1"/>
      <c r="F75" s="1"/>
      <c r="G75" s="1"/>
      <c r="H75" s="1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B8B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0.0"/>
    <col customWidth="1" min="2" max="8" width="19.0"/>
    <col customWidth="1" min="9" max="9" width="9.0"/>
    <col customWidth="1" min="10" max="10" width="37.0"/>
    <col customWidth="1" min="11" max="11" width="20.0"/>
    <col customWidth="1" min="12" max="12" width="48.0"/>
    <col customWidth="1" min="13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</row>
    <row r="2" ht="31.5" customHeight="1">
      <c r="A2" s="133" t="s">
        <v>446</v>
      </c>
      <c r="B2" s="133"/>
      <c r="C2" s="133"/>
      <c r="D2" s="133"/>
      <c r="E2" s="133"/>
      <c r="F2" s="133"/>
      <c r="G2" s="133"/>
      <c r="H2" s="133"/>
    </row>
    <row r="3" ht="14.25" customHeight="1">
      <c r="A3" s="135" t="s">
        <v>447</v>
      </c>
      <c r="B3" s="135"/>
      <c r="C3" s="135"/>
      <c r="D3" s="135"/>
      <c r="E3" s="135"/>
      <c r="F3" s="135"/>
      <c r="G3" s="135"/>
      <c r="H3" s="135"/>
    </row>
    <row r="4" ht="14.25" customHeight="1">
      <c r="A4" s="1"/>
      <c r="B4" s="1"/>
      <c r="C4" s="1"/>
      <c r="D4" s="1"/>
      <c r="E4" s="1"/>
      <c r="F4" s="1"/>
      <c r="G4" s="1"/>
      <c r="H4" s="1"/>
    </row>
    <row r="5" ht="14.25" customHeight="1">
      <c r="A5" s="6" t="s">
        <v>280</v>
      </c>
      <c r="B5" s="6" t="s">
        <v>355</v>
      </c>
      <c r="C5" s="6" t="s">
        <v>228</v>
      </c>
      <c r="D5" s="6" t="s">
        <v>230</v>
      </c>
      <c r="E5" s="6" t="s">
        <v>232</v>
      </c>
      <c r="F5" s="6" t="s">
        <v>234</v>
      </c>
      <c r="G5" s="6" t="s">
        <v>235</v>
      </c>
      <c r="H5" s="6" t="s">
        <v>236</v>
      </c>
      <c r="I5" s="121">
        <v>2033.0</v>
      </c>
    </row>
    <row r="6" ht="14.25" customHeight="1">
      <c r="A6" s="1" t="s">
        <v>41</v>
      </c>
      <c r="B6" s="1"/>
      <c r="C6" s="146">
        <f>'G Annual BS Forecast'!C48</f>
        <v>145364.7724</v>
      </c>
      <c r="D6" s="146">
        <f>'G Annual BS Forecast'!D48</f>
        <v>159222.9757</v>
      </c>
      <c r="E6" s="146">
        <f>'G Annual BS Forecast'!E48</f>
        <v>172975.9025</v>
      </c>
      <c r="F6" s="146">
        <f>'G Annual BS Forecast'!F48</f>
        <v>186642.3943</v>
      </c>
      <c r="G6" s="146">
        <f>'G Annual BS Forecast'!G48</f>
        <v>200073.2577</v>
      </c>
      <c r="H6" s="146">
        <f>'G Annual BS Forecast'!H48</f>
        <v>212774.8569</v>
      </c>
      <c r="I6" s="177">
        <f>K14</f>
        <v>219158.1026</v>
      </c>
    </row>
    <row r="7" ht="14.25" customHeight="1">
      <c r="A7" s="1" t="s">
        <v>368</v>
      </c>
      <c r="B7" s="1"/>
      <c r="C7" s="146">
        <f>'G Annual BS Forecast'!B39</f>
        <v>106995.1794</v>
      </c>
      <c r="D7" s="146">
        <f>'G Annual BS Forecast'!C39</f>
        <v>125846.4367</v>
      </c>
      <c r="E7" s="146">
        <f>'G Annual BS Forecast'!D39</f>
        <v>143684.8497</v>
      </c>
      <c r="F7" s="146">
        <f>'G Annual BS Forecast'!E39</f>
        <v>160760.8649</v>
      </c>
      <c r="G7" s="146">
        <f>'G Annual BS Forecast'!F39</f>
        <v>177299.6441</v>
      </c>
      <c r="H7" s="146">
        <f>'G Annual BS Forecast'!G39</f>
        <v>193214.8147</v>
      </c>
      <c r="I7" s="178">
        <f>'G Annual BS Forecast'!H39</f>
        <v>208105.2898</v>
      </c>
    </row>
    <row r="8" ht="14.25" customHeight="1">
      <c r="A8" s="1" t="s">
        <v>451</v>
      </c>
      <c r="B8" s="1"/>
      <c r="C8" s="146">
        <f>C7*'H Flow to Equity'!$K$6</f>
        <v>8559.614355</v>
      </c>
      <c r="D8" s="146">
        <f>D7*'H Flow to Equity'!$K$6</f>
        <v>10067.71494</v>
      </c>
      <c r="E8" s="146">
        <f>E7*'H Flow to Equity'!$K$6</f>
        <v>11494.78797</v>
      </c>
      <c r="F8" s="146">
        <f>F7*'H Flow to Equity'!$K$6</f>
        <v>12860.86919</v>
      </c>
      <c r="G8" s="146">
        <f>G7*'H Flow to Equity'!$K$6</f>
        <v>14183.97153</v>
      </c>
      <c r="H8" s="146">
        <f>H7*'H Flow to Equity'!$K$6</f>
        <v>15457.18518</v>
      </c>
      <c r="I8" s="146">
        <f>K15</f>
        <v>16648.42319</v>
      </c>
    </row>
    <row r="9" ht="14.25" customHeight="1">
      <c r="A9" s="18" t="s">
        <v>454</v>
      </c>
      <c r="B9" s="18"/>
      <c r="C9" s="152">
        <f t="shared" ref="C9:I9" si="1">C6-C8</f>
        <v>136805.1581</v>
      </c>
      <c r="D9" s="152">
        <f t="shared" si="1"/>
        <v>149155.2608</v>
      </c>
      <c r="E9" s="152">
        <f t="shared" si="1"/>
        <v>161481.1145</v>
      </c>
      <c r="F9" s="152">
        <f t="shared" si="1"/>
        <v>173781.5251</v>
      </c>
      <c r="G9" s="152">
        <f t="shared" si="1"/>
        <v>185889.2861</v>
      </c>
      <c r="H9" s="152">
        <f t="shared" si="1"/>
        <v>197317.6717</v>
      </c>
      <c r="I9" s="177">
        <f t="shared" si="1"/>
        <v>202509.6794</v>
      </c>
    </row>
    <row r="10" ht="14.25" customHeight="1">
      <c r="A10" s="1" t="s">
        <v>391</v>
      </c>
      <c r="B10" s="1"/>
      <c r="C10" s="156">
        <f>'H Flow to Equity'!C14</f>
        <v>0.9259259259</v>
      </c>
      <c r="D10" s="156">
        <f>'H Flow to Equity'!D14</f>
        <v>0.8573388203</v>
      </c>
      <c r="E10" s="156">
        <f>'H Flow to Equity'!E14</f>
        <v>0.793832241</v>
      </c>
      <c r="F10" s="156">
        <f>'H Flow to Equity'!F14</f>
        <v>0.7350298528</v>
      </c>
      <c r="G10" s="156">
        <f>'H Flow to Equity'!G14</f>
        <v>0.680583197</v>
      </c>
      <c r="H10" s="156">
        <f>'H Flow to Equity'!H14</f>
        <v>0.6301696269</v>
      </c>
      <c r="I10" s="181" t="s">
        <v>455</v>
      </c>
      <c r="J10" s="178">
        <f t="shared" ref="J10:J11" si="3">K17</f>
        <v>4050193.588</v>
      </c>
    </row>
    <row r="11" ht="14.25" customHeight="1">
      <c r="A11" s="18" t="s">
        <v>456</v>
      </c>
      <c r="B11" s="18"/>
      <c r="C11" s="152">
        <f t="shared" ref="C11:H11" si="2">C9*C10</f>
        <v>126671.4427</v>
      </c>
      <c r="D11" s="152">
        <f t="shared" si="2"/>
        <v>127876.5953</v>
      </c>
      <c r="E11" s="152">
        <f t="shared" si="2"/>
        <v>128188.915</v>
      </c>
      <c r="F11" s="152">
        <f t="shared" si="2"/>
        <v>127734.6088</v>
      </c>
      <c r="G11" s="152">
        <f t="shared" si="2"/>
        <v>126513.1247</v>
      </c>
      <c r="H11" s="152">
        <f t="shared" si="2"/>
        <v>124343.6035</v>
      </c>
      <c r="I11" s="181" t="s">
        <v>457</v>
      </c>
      <c r="J11" s="178">
        <f t="shared" si="3"/>
        <v>2552308.982</v>
      </c>
    </row>
    <row r="12" ht="14.25" customHeight="1">
      <c r="A12" s="1"/>
      <c r="B12" s="1"/>
      <c r="C12" s="1"/>
      <c r="D12" s="1"/>
      <c r="E12" s="1"/>
      <c r="F12" s="1"/>
      <c r="G12" s="182" t="s">
        <v>459</v>
      </c>
      <c r="H12" s="146">
        <f>sum(C11:H11)</f>
        <v>761328.29</v>
      </c>
    </row>
    <row r="13" ht="14.25" customHeight="1">
      <c r="A13" s="1"/>
      <c r="B13" s="1"/>
      <c r="C13" s="1"/>
      <c r="D13" s="1"/>
      <c r="E13" s="1"/>
      <c r="F13" s="1"/>
      <c r="G13" s="1"/>
      <c r="H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J14" s="121" t="s">
        <v>394</v>
      </c>
      <c r="K14" s="157">
        <f>'H Flow to Equity'!K14</f>
        <v>219158.1026</v>
      </c>
    </row>
    <row r="15" ht="14.25" customHeight="1">
      <c r="A15" s="1"/>
      <c r="B15" s="1"/>
      <c r="C15" s="1"/>
      <c r="D15" s="1"/>
      <c r="E15" s="1"/>
      <c r="F15" s="1"/>
      <c r="G15" s="1"/>
      <c r="H15" s="1"/>
      <c r="J15" s="121" t="s">
        <v>461</v>
      </c>
      <c r="K15" s="157">
        <f>'G Annual BS Forecast'!H39*'H Flow to Equity'!K6</f>
        <v>16648.42319</v>
      </c>
    </row>
    <row r="16" ht="14.25" customHeight="1">
      <c r="A16" s="1"/>
      <c r="B16" s="1"/>
      <c r="C16" s="1"/>
      <c r="D16" s="1"/>
      <c r="E16" s="1"/>
      <c r="F16" s="1"/>
      <c r="G16" s="1"/>
      <c r="H16" s="1"/>
      <c r="J16" s="121" t="s">
        <v>462</v>
      </c>
      <c r="K16" s="157">
        <f>K14-K15</f>
        <v>202509.6794</v>
      </c>
    </row>
    <row r="17" ht="14.25" customHeight="1">
      <c r="A17" s="1"/>
      <c r="B17" s="1"/>
      <c r="C17" s="1"/>
      <c r="D17" s="1"/>
      <c r="E17" s="1"/>
      <c r="F17" s="1"/>
      <c r="G17" s="1"/>
      <c r="H17" s="1"/>
      <c r="J17" s="121" t="s">
        <v>463</v>
      </c>
      <c r="K17" s="157">
        <f>K16/('H Flow to Equity'!K6-'H Flow to Equity'!K7)</f>
        <v>4050193.588</v>
      </c>
    </row>
    <row r="18" ht="14.25" customHeight="1">
      <c r="A18" s="1"/>
      <c r="B18" s="1"/>
      <c r="C18" s="1"/>
      <c r="D18" s="1"/>
      <c r="E18" s="1"/>
      <c r="F18" s="1"/>
      <c r="G18" s="1"/>
      <c r="H18" s="1"/>
      <c r="J18" s="121" t="s">
        <v>464</v>
      </c>
      <c r="K18" s="157">
        <f>K17*'H Flow to Equity'!H14</f>
        <v>2552308.982</v>
      </c>
    </row>
    <row r="19" ht="14.25" customHeight="1">
      <c r="A19" s="1"/>
      <c r="B19" s="1"/>
      <c r="C19" s="1"/>
      <c r="D19" s="1"/>
      <c r="E19" s="1"/>
      <c r="F19" s="1"/>
      <c r="G19" s="1"/>
      <c r="H19" s="1"/>
      <c r="J19" s="121" t="s">
        <v>465</v>
      </c>
      <c r="K19" s="157">
        <f>SUM(C11:H11)</f>
        <v>761328.29</v>
      </c>
    </row>
    <row r="20" ht="14.25" customHeight="1">
      <c r="A20" s="1"/>
      <c r="B20" s="1"/>
      <c r="C20" s="1"/>
      <c r="D20" s="1"/>
      <c r="E20" s="1"/>
      <c r="F20" s="1"/>
      <c r="G20" s="1"/>
      <c r="H20" s="1"/>
      <c r="J20" s="121" t="s">
        <v>469</v>
      </c>
      <c r="K20" s="157">
        <f>'G Annual BS Forecast'!B39</f>
        <v>106995.1794</v>
      </c>
    </row>
    <row r="21" ht="14.25" customHeight="1">
      <c r="A21" s="1"/>
      <c r="B21" s="1"/>
      <c r="C21" s="1"/>
      <c r="D21" s="1"/>
      <c r="E21" s="1"/>
      <c r="F21" s="1"/>
      <c r="G21" s="1"/>
      <c r="H21" s="1"/>
      <c r="J21" s="159" t="s">
        <v>407</v>
      </c>
      <c r="K21" s="160">
        <f>SUM(K18:K20)</f>
        <v>3420632.451</v>
      </c>
    </row>
    <row r="22" ht="14.25" customHeight="1">
      <c r="A22" s="1"/>
      <c r="B22" s="1"/>
      <c r="C22" s="1"/>
      <c r="D22" s="1"/>
      <c r="E22" s="1"/>
      <c r="F22" s="1"/>
      <c r="G22" s="1"/>
      <c r="H22" s="1"/>
      <c r="J22" s="159" t="s">
        <v>409</v>
      </c>
      <c r="K22" s="162">
        <f>K21/'H Flow to Equity'!K8</f>
        <v>233.4902697</v>
      </c>
    </row>
    <row r="23" ht="14.25" customHeight="1">
      <c r="A23" s="1"/>
      <c r="B23" s="1"/>
      <c r="C23" s="1"/>
      <c r="D23" s="1"/>
      <c r="E23" s="1"/>
      <c r="F23" s="1"/>
      <c r="G23" s="1"/>
      <c r="H23" s="1"/>
      <c r="J23" s="121" t="s">
        <v>483</v>
      </c>
      <c r="K23" s="185">
        <f>K21-'H Flow to Equity'!K20</f>
        <v>0</v>
      </c>
    </row>
    <row r="24" ht="14.25" customHeight="1">
      <c r="A24" s="1"/>
      <c r="B24" s="1"/>
      <c r="C24" s="1"/>
      <c r="D24" s="1"/>
      <c r="E24" s="1"/>
      <c r="F24" s="1"/>
      <c r="G24" s="1"/>
      <c r="H24" s="1"/>
    </row>
    <row r="25" ht="14.25" customHeight="1">
      <c r="A25" s="1"/>
      <c r="B25" s="1"/>
      <c r="C25" s="1"/>
      <c r="D25" s="1"/>
      <c r="E25" s="1"/>
      <c r="F25" s="1"/>
      <c r="G25" s="1"/>
      <c r="H25" s="1"/>
    </row>
    <row r="26" ht="49.5" customHeight="1">
      <c r="A26" s="1"/>
      <c r="B26" s="1"/>
      <c r="C26" s="1"/>
      <c r="D26" s="1"/>
      <c r="E26" s="1"/>
      <c r="F26" s="1"/>
      <c r="G26" s="1"/>
      <c r="H26" s="1"/>
      <c r="J26" s="121" t="s">
        <v>485</v>
      </c>
      <c r="L26" s="163" t="s">
        <v>486</v>
      </c>
    </row>
    <row r="27" ht="49.5" customHeight="1">
      <c r="A27" s="1"/>
      <c r="B27" s="1"/>
      <c r="C27" s="1"/>
      <c r="D27" s="1"/>
      <c r="E27" s="1"/>
      <c r="F27" s="1"/>
      <c r="G27" s="1"/>
      <c r="H27" s="1"/>
      <c r="J27" s="121" t="s">
        <v>487</v>
      </c>
      <c r="L27" s="163" t="s">
        <v>488</v>
      </c>
    </row>
    <row r="28" ht="14.25" customHeight="1">
      <c r="A28" s="1"/>
      <c r="B28" s="1"/>
      <c r="C28" s="1"/>
      <c r="D28" s="1"/>
      <c r="E28" s="1"/>
      <c r="F28" s="1"/>
      <c r="G28" s="1"/>
      <c r="H28" s="1"/>
    </row>
    <row r="29" ht="14.25" customHeight="1">
      <c r="A29" s="1"/>
      <c r="B29" s="1"/>
      <c r="C29" s="1"/>
      <c r="D29" s="1"/>
      <c r="E29" s="1"/>
      <c r="F29" s="1"/>
      <c r="G29" s="1"/>
      <c r="H29" s="1"/>
    </row>
    <row r="30" ht="14.25" customHeight="1">
      <c r="A30" s="1"/>
      <c r="B30" s="1"/>
      <c r="C30" s="1"/>
      <c r="D30" s="1"/>
      <c r="E30" s="1"/>
      <c r="F30" s="1"/>
      <c r="G30" s="1"/>
      <c r="H30" s="1"/>
    </row>
    <row r="31" ht="14.25" customHeight="1">
      <c r="A31" s="1"/>
      <c r="B31" s="1"/>
      <c r="C31" s="1"/>
      <c r="D31" s="1"/>
      <c r="E31" s="1"/>
      <c r="F31" s="1"/>
      <c r="G31" s="1"/>
      <c r="H31" s="1"/>
    </row>
    <row r="32" ht="14.25" customHeight="1">
      <c r="A32" s="1"/>
      <c r="B32" s="1"/>
      <c r="C32" s="1"/>
      <c r="D32" s="1"/>
      <c r="E32" s="1"/>
      <c r="F32" s="1"/>
      <c r="G32" s="1"/>
      <c r="H32" s="1"/>
    </row>
    <row r="33" ht="14.25" customHeight="1">
      <c r="A33" s="1"/>
      <c r="B33" s="1"/>
      <c r="C33" s="1"/>
      <c r="D33" s="1"/>
      <c r="E33" s="1"/>
      <c r="F33" s="1"/>
      <c r="G33" s="1"/>
      <c r="H33" s="1"/>
    </row>
    <row r="34" ht="14.25" customHeight="1">
      <c r="A34" s="1"/>
      <c r="B34" s="1"/>
      <c r="C34" s="1"/>
      <c r="D34" s="1"/>
      <c r="E34" s="1"/>
      <c r="F34" s="1"/>
      <c r="G34" s="1"/>
      <c r="H34" s="1"/>
    </row>
    <row r="35" ht="14.25" customHeight="1">
      <c r="A35" s="1"/>
      <c r="B35" s="1"/>
      <c r="C35" s="1"/>
      <c r="D35" s="1"/>
      <c r="E35" s="1"/>
      <c r="F35" s="1"/>
      <c r="G35" s="1"/>
      <c r="H35" s="1"/>
    </row>
    <row r="36" ht="14.25" customHeight="1">
      <c r="A36" s="1"/>
      <c r="B36" s="1"/>
      <c r="C36" s="1"/>
      <c r="D36" s="1"/>
      <c r="E36" s="1"/>
      <c r="F36" s="1"/>
      <c r="G36" s="1"/>
      <c r="H36" s="1"/>
    </row>
    <row r="37" ht="14.25" customHeight="1">
      <c r="A37" s="1"/>
      <c r="B37" s="1"/>
      <c r="C37" s="1"/>
      <c r="D37" s="1"/>
      <c r="E37" s="1"/>
      <c r="F37" s="1"/>
      <c r="G37" s="1"/>
      <c r="H37" s="1"/>
    </row>
    <row r="38" ht="14.25" customHeight="1">
      <c r="A38" s="1"/>
      <c r="B38" s="1"/>
      <c r="C38" s="1"/>
      <c r="D38" s="1"/>
      <c r="E38" s="1"/>
      <c r="F38" s="1"/>
      <c r="G38" s="1"/>
      <c r="H38" s="1"/>
    </row>
    <row r="39" ht="14.25" customHeight="1">
      <c r="A39" s="1"/>
      <c r="B39" s="1"/>
      <c r="C39" s="1"/>
      <c r="D39" s="1"/>
      <c r="E39" s="1"/>
      <c r="F39" s="1"/>
      <c r="G39" s="1"/>
      <c r="H39" s="1"/>
    </row>
    <row r="40" ht="14.25" customHeight="1">
      <c r="A40" s="1"/>
      <c r="B40" s="1"/>
      <c r="C40" s="1"/>
      <c r="D40" s="1"/>
      <c r="E40" s="1"/>
      <c r="F40" s="1"/>
      <c r="G40" s="1"/>
      <c r="H40" s="1"/>
    </row>
    <row r="41" ht="14.25" customHeight="1">
      <c r="A41" s="1"/>
      <c r="B41" s="1"/>
      <c r="C41" s="1"/>
      <c r="D41" s="1"/>
      <c r="E41" s="1"/>
      <c r="F41" s="1"/>
      <c r="G41" s="1"/>
      <c r="H41" s="1"/>
    </row>
    <row r="42" ht="14.25" customHeight="1">
      <c r="A42" s="1"/>
      <c r="B42" s="1"/>
      <c r="C42" s="1"/>
      <c r="D42" s="1"/>
      <c r="E42" s="1"/>
      <c r="F42" s="1"/>
      <c r="G42" s="1"/>
      <c r="H42" s="1"/>
    </row>
    <row r="43" ht="14.25" customHeight="1">
      <c r="A43" s="1"/>
      <c r="B43" s="1"/>
      <c r="C43" s="1"/>
      <c r="D43" s="1"/>
      <c r="E43" s="1"/>
      <c r="F43" s="1"/>
      <c r="G43" s="1"/>
      <c r="H43" s="1"/>
    </row>
    <row r="44" ht="14.25" customHeight="1">
      <c r="A44" s="1"/>
      <c r="B44" s="1"/>
      <c r="C44" s="1"/>
      <c r="D44" s="1"/>
      <c r="E44" s="1"/>
      <c r="F44" s="1"/>
      <c r="G44" s="1"/>
      <c r="H44" s="1"/>
    </row>
    <row r="45" ht="14.25" customHeight="1">
      <c r="A45" s="1"/>
      <c r="B45" s="1"/>
      <c r="C45" s="1"/>
      <c r="D45" s="1"/>
      <c r="E45" s="1"/>
      <c r="F45" s="1"/>
      <c r="G45" s="1"/>
      <c r="H45" s="1"/>
    </row>
    <row r="46" ht="14.25" customHeight="1">
      <c r="A46" s="1"/>
      <c r="B46" s="1"/>
      <c r="C46" s="1"/>
      <c r="D46" s="1"/>
      <c r="E46" s="1"/>
      <c r="F46" s="1"/>
      <c r="G46" s="1"/>
      <c r="H46" s="1"/>
    </row>
    <row r="47" ht="14.25" customHeight="1">
      <c r="A47" s="1"/>
      <c r="B47" s="1"/>
      <c r="C47" s="1"/>
      <c r="D47" s="1"/>
      <c r="E47" s="1"/>
      <c r="F47" s="1"/>
      <c r="G47" s="1"/>
      <c r="H47" s="1"/>
    </row>
    <row r="48" ht="14.25" customHeight="1">
      <c r="A48" s="1"/>
      <c r="B48" s="1"/>
      <c r="C48" s="1"/>
      <c r="D48" s="1"/>
      <c r="E48" s="1"/>
      <c r="F48" s="1"/>
      <c r="G48" s="1"/>
      <c r="H48" s="1"/>
    </row>
    <row r="49" ht="14.25" customHeight="1">
      <c r="A49" s="1"/>
      <c r="B49" s="1"/>
      <c r="C49" s="1"/>
      <c r="D49" s="1"/>
      <c r="E49" s="1"/>
      <c r="F49" s="1"/>
      <c r="G49" s="1"/>
      <c r="H49" s="1"/>
    </row>
    <row r="50" ht="14.25" customHeight="1">
      <c r="A50" s="1"/>
      <c r="B50" s="1"/>
      <c r="C50" s="1"/>
      <c r="D50" s="1"/>
      <c r="E50" s="1"/>
      <c r="F50" s="1"/>
      <c r="G50" s="1"/>
      <c r="H50" s="1"/>
    </row>
    <row r="51" ht="14.25" customHeight="1">
      <c r="A51" s="1"/>
      <c r="B51" s="1"/>
      <c r="C51" s="1"/>
      <c r="D51" s="1"/>
      <c r="E51" s="1"/>
      <c r="F51" s="1"/>
      <c r="G51" s="1"/>
      <c r="H51" s="1"/>
    </row>
    <row r="52" ht="14.25" customHeight="1">
      <c r="A52" s="1"/>
      <c r="B52" s="1"/>
      <c r="C52" s="1"/>
      <c r="D52" s="1"/>
      <c r="E52" s="1"/>
      <c r="F52" s="1"/>
      <c r="G52" s="1"/>
      <c r="H52" s="1"/>
    </row>
    <row r="53" ht="14.25" customHeight="1">
      <c r="A53" s="1"/>
      <c r="B53" s="1"/>
      <c r="C53" s="1"/>
      <c r="D53" s="1"/>
      <c r="E53" s="1"/>
      <c r="F53" s="1"/>
      <c r="G53" s="1"/>
      <c r="H53" s="1"/>
    </row>
    <row r="54" ht="14.25" customHeight="1">
      <c r="A54" s="1"/>
      <c r="B54" s="1"/>
      <c r="C54" s="1"/>
      <c r="D54" s="1"/>
      <c r="E54" s="1"/>
      <c r="F54" s="1"/>
      <c r="G54" s="1"/>
      <c r="H54" s="1"/>
    </row>
    <row r="55" ht="14.25" customHeight="1">
      <c r="A55" s="1"/>
      <c r="B55" s="1"/>
      <c r="C55" s="1"/>
      <c r="D55" s="1"/>
      <c r="E55" s="1"/>
      <c r="F55" s="1"/>
      <c r="G55" s="1"/>
      <c r="H55" s="1"/>
    </row>
    <row r="56" ht="14.25" customHeight="1">
      <c r="A56" s="1"/>
      <c r="B56" s="1"/>
      <c r="C56" s="1"/>
      <c r="D56" s="1"/>
      <c r="E56" s="1"/>
      <c r="F56" s="1"/>
      <c r="G56" s="1"/>
      <c r="H56" s="1"/>
    </row>
    <row r="57" ht="14.25" customHeight="1">
      <c r="A57" s="1"/>
      <c r="B57" s="1"/>
      <c r="C57" s="1"/>
      <c r="D57" s="1"/>
      <c r="E57" s="1"/>
      <c r="F57" s="1"/>
      <c r="G57" s="1"/>
      <c r="H57" s="1"/>
    </row>
    <row r="58" ht="14.25" customHeight="1">
      <c r="A58" s="1"/>
      <c r="B58" s="1"/>
      <c r="C58" s="1"/>
      <c r="D58" s="1"/>
      <c r="E58" s="1"/>
      <c r="F58" s="1"/>
      <c r="G58" s="1"/>
      <c r="H58" s="1"/>
    </row>
    <row r="59" ht="14.25" customHeight="1">
      <c r="A59" s="1"/>
      <c r="B59" s="1"/>
      <c r="C59" s="1"/>
      <c r="D59" s="1"/>
      <c r="E59" s="1"/>
      <c r="F59" s="1"/>
      <c r="G59" s="1"/>
      <c r="H59" s="1"/>
    </row>
    <row r="60" ht="14.25" customHeight="1">
      <c r="A60" s="1"/>
      <c r="B60" s="1"/>
      <c r="C60" s="1"/>
      <c r="D60" s="1"/>
      <c r="E60" s="1"/>
      <c r="F60" s="1"/>
      <c r="G60" s="1"/>
      <c r="H60" s="1"/>
    </row>
    <row r="61" ht="14.25" customHeight="1">
      <c r="A61" s="1"/>
      <c r="B61" s="1"/>
      <c r="C61" s="1"/>
      <c r="D61" s="1"/>
      <c r="E61" s="1"/>
      <c r="F61" s="1"/>
      <c r="G61" s="1"/>
      <c r="H61" s="1"/>
    </row>
    <row r="62" ht="14.25" customHeight="1">
      <c r="A62" s="1"/>
      <c r="B62" s="1"/>
      <c r="C62" s="1"/>
      <c r="D62" s="1"/>
      <c r="E62" s="1"/>
      <c r="F62" s="1"/>
      <c r="G62" s="1"/>
      <c r="H62" s="1"/>
    </row>
    <row r="63" ht="14.25" customHeight="1">
      <c r="A63" s="1"/>
      <c r="B63" s="1"/>
      <c r="C63" s="1"/>
      <c r="D63" s="1"/>
      <c r="E63" s="1"/>
      <c r="F63" s="1"/>
      <c r="G63" s="1"/>
      <c r="H63" s="1"/>
    </row>
    <row r="64" ht="14.25" customHeight="1">
      <c r="A64" s="1"/>
      <c r="B64" s="1"/>
      <c r="C64" s="1"/>
      <c r="D64" s="1"/>
      <c r="E64" s="1"/>
      <c r="F64" s="1"/>
      <c r="G64" s="1"/>
      <c r="H64" s="1"/>
    </row>
    <row r="65" ht="14.25" customHeight="1">
      <c r="A65" s="1"/>
      <c r="B65" s="1"/>
      <c r="C65" s="1"/>
      <c r="D65" s="1"/>
      <c r="E65" s="1"/>
      <c r="F65" s="1"/>
      <c r="G65" s="1"/>
      <c r="H65" s="1"/>
    </row>
    <row r="66" ht="14.25" customHeight="1">
      <c r="A66" s="1"/>
      <c r="B66" s="1"/>
      <c r="C66" s="1"/>
      <c r="D66" s="1"/>
      <c r="E66" s="1"/>
      <c r="F66" s="1"/>
      <c r="G66" s="1"/>
      <c r="H66" s="1"/>
    </row>
    <row r="67" ht="14.25" customHeight="1">
      <c r="A67" s="1"/>
      <c r="B67" s="1"/>
      <c r="C67" s="1"/>
      <c r="D67" s="1"/>
      <c r="E67" s="1"/>
      <c r="F67" s="1"/>
      <c r="G67" s="1"/>
      <c r="H67" s="1"/>
    </row>
    <row r="68" ht="14.25" customHeight="1">
      <c r="A68" s="1"/>
      <c r="B68" s="1"/>
      <c r="C68" s="1"/>
      <c r="D68" s="1"/>
      <c r="E68" s="1"/>
      <c r="F68" s="1"/>
      <c r="G68" s="1"/>
      <c r="H68" s="1"/>
    </row>
    <row r="69" ht="14.25" customHeight="1">
      <c r="A69" s="1"/>
      <c r="B69" s="1"/>
      <c r="C69" s="1"/>
      <c r="D69" s="1"/>
      <c r="E69" s="1"/>
      <c r="F69" s="1"/>
      <c r="G69" s="1"/>
      <c r="H69" s="1"/>
    </row>
    <row r="70" ht="14.25" customHeight="1">
      <c r="A70" s="1"/>
      <c r="B70" s="1"/>
      <c r="C70" s="1"/>
      <c r="D70" s="1"/>
      <c r="E70" s="1"/>
      <c r="F70" s="1"/>
      <c r="G70" s="1"/>
      <c r="H70" s="1"/>
    </row>
    <row r="71" ht="14.25" customHeight="1">
      <c r="A71" s="1"/>
      <c r="B71" s="1"/>
      <c r="C71" s="1"/>
      <c r="D71" s="1"/>
      <c r="E71" s="1"/>
      <c r="F71" s="1"/>
      <c r="G71" s="1"/>
      <c r="H71" s="1"/>
    </row>
    <row r="72" ht="14.25" customHeight="1">
      <c r="A72" s="1"/>
      <c r="B72" s="1"/>
      <c r="C72" s="1"/>
      <c r="D72" s="1"/>
      <c r="E72" s="1"/>
      <c r="F72" s="1"/>
      <c r="G72" s="1"/>
      <c r="H72" s="1"/>
    </row>
    <row r="73" ht="14.25" customHeight="1">
      <c r="A73" s="1"/>
      <c r="B73" s="1"/>
      <c r="C73" s="1"/>
      <c r="D73" s="1"/>
      <c r="E73" s="1"/>
      <c r="F73" s="1"/>
      <c r="G73" s="1"/>
      <c r="H73" s="1"/>
    </row>
    <row r="74" ht="14.25" customHeight="1">
      <c r="A74" s="1"/>
      <c r="B74" s="1"/>
      <c r="C74" s="1"/>
      <c r="D74" s="1"/>
      <c r="E74" s="1"/>
      <c r="F74" s="1"/>
      <c r="G74" s="1"/>
      <c r="H74" s="1"/>
    </row>
    <row r="75" ht="14.25" customHeight="1">
      <c r="A75" s="1"/>
      <c r="B75" s="1"/>
      <c r="C75" s="1"/>
      <c r="D75" s="1"/>
      <c r="E75" s="1"/>
      <c r="F75" s="1"/>
      <c r="G75" s="1"/>
      <c r="H75" s="1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56A3A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5.29"/>
    <col customWidth="1" min="2" max="2" width="15.43"/>
    <col customWidth="1" min="3" max="3" width="21.29"/>
    <col customWidth="1" min="4" max="4" width="18.0"/>
    <col customWidth="1" min="5" max="5" width="54.14"/>
    <col customWidth="1" min="6" max="6" width="64.0"/>
    <col customWidth="1" min="7" max="7" width="19.14"/>
    <col customWidth="1" min="8" max="26" width="9.0"/>
  </cols>
  <sheetData>
    <row r="1" ht="14.25" customHeight="1">
      <c r="A1" s="1"/>
      <c r="B1" s="1"/>
      <c r="C1" s="1"/>
      <c r="D1" s="1"/>
      <c r="E1" s="1"/>
      <c r="F1" s="1"/>
    </row>
    <row r="2" ht="31.5" customHeight="1">
      <c r="A2" s="133" t="s">
        <v>466</v>
      </c>
      <c r="B2" s="133"/>
      <c r="C2" s="133"/>
      <c r="D2" s="133"/>
      <c r="E2" s="133"/>
      <c r="F2" s="133"/>
    </row>
    <row r="3" ht="14.25" customHeight="1">
      <c r="A3" s="135" t="s">
        <v>468</v>
      </c>
      <c r="B3" s="135"/>
      <c r="C3" s="135"/>
      <c r="D3" s="135"/>
      <c r="E3" s="135"/>
      <c r="F3" s="135"/>
    </row>
    <row r="4" ht="14.25" customHeight="1">
      <c r="A4" s="1"/>
      <c r="B4" s="1"/>
      <c r="C4" s="1"/>
      <c r="D4" s="1"/>
      <c r="E4" s="1"/>
      <c r="F4" s="1"/>
    </row>
    <row r="5" ht="14.25" customHeight="1">
      <c r="A5" s="6" t="s">
        <v>470</v>
      </c>
      <c r="B5" s="6" t="s">
        <v>471</v>
      </c>
      <c r="C5" s="6" t="s">
        <v>472</v>
      </c>
      <c r="D5" s="6" t="s">
        <v>473</v>
      </c>
      <c r="E5" s="6" t="s">
        <v>474</v>
      </c>
      <c r="F5" s="6" t="s">
        <v>16</v>
      </c>
    </row>
    <row r="6" ht="14.25" customHeight="1">
      <c r="A6" s="1" t="s">
        <v>475</v>
      </c>
      <c r="B6" s="1" t="s">
        <v>476</v>
      </c>
      <c r="C6" s="184">
        <v>26.77</v>
      </c>
      <c r="D6" s="184">
        <v>25.65</v>
      </c>
      <c r="E6" s="1" t="s">
        <v>477</v>
      </c>
      <c r="F6" s="1" t="s">
        <v>478</v>
      </c>
    </row>
    <row r="7" ht="14.25" customHeight="1">
      <c r="A7" s="1" t="s">
        <v>479</v>
      </c>
      <c r="B7" s="1" t="s">
        <v>480</v>
      </c>
      <c r="C7" s="184">
        <v>25.89</v>
      </c>
      <c r="D7" s="184">
        <v>27.98</v>
      </c>
      <c r="E7" s="1" t="s">
        <v>481</v>
      </c>
      <c r="F7" s="187" t="s">
        <v>482</v>
      </c>
    </row>
    <row r="8" ht="14.25" customHeight="1">
      <c r="A8" s="1" t="s">
        <v>489</v>
      </c>
      <c r="B8" s="1" t="s">
        <v>490</v>
      </c>
      <c r="C8" s="184">
        <v>22.97</v>
      </c>
      <c r="D8" s="184">
        <v>21.91</v>
      </c>
      <c r="E8" s="1" t="s">
        <v>491</v>
      </c>
      <c r="F8" s="1" t="s">
        <v>492</v>
      </c>
    </row>
    <row r="9" ht="14.25" customHeight="1">
      <c r="A9" s="1" t="s">
        <v>493</v>
      </c>
      <c r="B9" s="1"/>
      <c r="C9" s="188">
        <v>4.4</v>
      </c>
      <c r="D9" s="184">
        <v>8.75</v>
      </c>
      <c r="E9" s="1" t="s">
        <v>495</v>
      </c>
      <c r="F9" s="189" t="s">
        <v>496</v>
      </c>
    </row>
    <row r="10" ht="14.25" customHeight="1">
      <c r="A10" s="1" t="s">
        <v>499</v>
      </c>
      <c r="B10" s="1" t="s">
        <v>500</v>
      </c>
      <c r="C10" s="184">
        <v>17.65</v>
      </c>
      <c r="D10" s="184">
        <v>13.14</v>
      </c>
      <c r="E10" s="1" t="s">
        <v>501</v>
      </c>
      <c r="F10" s="189" t="s">
        <v>502</v>
      </c>
    </row>
    <row r="11" ht="14.25" customHeight="1">
      <c r="A11" s="18" t="s">
        <v>505</v>
      </c>
      <c r="B11" s="18"/>
      <c r="C11" s="190">
        <f t="shared" ref="C11:D11" si="1">MEDIAN(C6:C10)</f>
        <v>22.97</v>
      </c>
      <c r="D11" s="190">
        <f t="shared" si="1"/>
        <v>21.91</v>
      </c>
      <c r="E11" s="18"/>
      <c r="F11" s="18"/>
    </row>
    <row r="12" ht="14.25" customHeight="1">
      <c r="A12" s="1"/>
      <c r="B12" s="1"/>
      <c r="C12" s="1"/>
      <c r="D12" s="1"/>
      <c r="E12" s="1"/>
      <c r="F12" s="1"/>
    </row>
    <row r="13" ht="14.25" customHeight="1">
      <c r="A13" s="9" t="s">
        <v>506</v>
      </c>
      <c r="B13" s="9" t="s">
        <v>507</v>
      </c>
      <c r="C13" s="9" t="s">
        <v>509</v>
      </c>
      <c r="D13" s="9" t="s">
        <v>510</v>
      </c>
      <c r="E13" s="9" t="s">
        <v>511</v>
      </c>
      <c r="F13" s="9" t="s">
        <v>512</v>
      </c>
      <c r="G13" s="9" t="s">
        <v>510</v>
      </c>
      <c r="H13" s="121" t="s">
        <v>514</v>
      </c>
    </row>
    <row r="14" ht="14.25" customHeight="1">
      <c r="A14" s="191">
        <v>2021.0</v>
      </c>
      <c r="B14" s="184">
        <v>31.6</v>
      </c>
      <c r="C14" s="184">
        <v>20.1</v>
      </c>
      <c r="D14" s="193">
        <f t="shared" ref="D14:D18" si="2">B14/C14-1</f>
        <v>0.5721393035</v>
      </c>
      <c r="E14" s="184">
        <v>27.4</v>
      </c>
      <c r="F14" s="184">
        <v>18.88</v>
      </c>
      <c r="G14" s="198">
        <f t="shared" ref="G14:G18" si="3">E14/F14-1</f>
        <v>0.4512711864</v>
      </c>
    </row>
    <row r="15" ht="14.25" customHeight="1">
      <c r="A15" s="191">
        <v>2022.0</v>
      </c>
      <c r="B15" s="184">
        <v>21.28</v>
      </c>
      <c r="C15" s="184">
        <v>15.04</v>
      </c>
      <c r="D15" s="193">
        <f t="shared" si="2"/>
        <v>0.414893617</v>
      </c>
      <c r="E15" s="184">
        <v>18.04</v>
      </c>
      <c r="F15" s="184">
        <v>11.31</v>
      </c>
      <c r="G15" s="198">
        <f t="shared" si="3"/>
        <v>0.5950486295</v>
      </c>
    </row>
    <row r="16" ht="14.25" customHeight="1">
      <c r="A16" s="191">
        <v>2023.0</v>
      </c>
      <c r="B16" s="184">
        <v>29.19</v>
      </c>
      <c r="C16" s="184">
        <v>20.95</v>
      </c>
      <c r="D16" s="193">
        <f t="shared" si="2"/>
        <v>0.3933174224</v>
      </c>
      <c r="E16" s="184">
        <v>26.83</v>
      </c>
      <c r="F16" s="184">
        <v>23.34</v>
      </c>
      <c r="G16" s="198">
        <f t="shared" si="3"/>
        <v>0.1495287061</v>
      </c>
    </row>
    <row r="17" ht="14.25" customHeight="1">
      <c r="A17" s="191">
        <v>2024.0</v>
      </c>
      <c r="B17" s="184">
        <v>33.66</v>
      </c>
      <c r="C17" s="184">
        <v>18.16</v>
      </c>
      <c r="D17" s="193">
        <f t="shared" si="2"/>
        <v>0.8535242291</v>
      </c>
      <c r="E17" s="184">
        <v>30.99</v>
      </c>
      <c r="F17" s="184">
        <v>20.95</v>
      </c>
      <c r="G17" s="198">
        <f t="shared" si="3"/>
        <v>0.4792362768</v>
      </c>
    </row>
    <row r="18" ht="14.25" customHeight="1">
      <c r="A18" s="191">
        <v>2025.0</v>
      </c>
      <c r="B18" s="184">
        <v>32.79</v>
      </c>
      <c r="C18" s="184">
        <v>20.03</v>
      </c>
      <c r="D18" s="193">
        <f t="shared" si="2"/>
        <v>0.6370444333</v>
      </c>
      <c r="E18" s="184">
        <v>30.6</v>
      </c>
      <c r="F18" s="184">
        <v>21.55</v>
      </c>
      <c r="G18" s="198">
        <f t="shared" si="3"/>
        <v>0.4199535963</v>
      </c>
    </row>
    <row r="19" ht="14.25" customHeight="1">
      <c r="A19" s="18" t="s">
        <v>526</v>
      </c>
      <c r="B19" s="18"/>
      <c r="C19" s="18"/>
      <c r="D19" s="203">
        <f>AVERAGE(D14:D18)</f>
        <v>0.5741838011</v>
      </c>
      <c r="E19" s="18"/>
      <c r="F19" s="18"/>
      <c r="G19" s="204">
        <f>AVERAGE(G14:G18)</f>
        <v>0.419007679</v>
      </c>
    </row>
    <row r="20" ht="14.25" customHeight="1">
      <c r="A20" s="1"/>
      <c r="B20" s="1"/>
      <c r="C20" s="1"/>
      <c r="D20" s="1"/>
      <c r="E20" s="1"/>
      <c r="F20" s="1"/>
    </row>
    <row r="21" ht="22.5" customHeight="1">
      <c r="A21" s="9" t="s">
        <v>527</v>
      </c>
      <c r="B21" s="9"/>
      <c r="C21" s="9"/>
      <c r="D21" s="9"/>
      <c r="E21" s="9"/>
      <c r="F21" s="9"/>
    </row>
    <row r="22" ht="14.25" customHeight="1">
      <c r="A22" s="1" t="s">
        <v>528</v>
      </c>
      <c r="B22" s="146">
        <f>'C2 Annual IS Forecast'!H30</f>
        <v>145364.7724</v>
      </c>
      <c r="C22" s="1"/>
      <c r="D22" s="1"/>
      <c r="E22" s="1"/>
      <c r="F22" s="1"/>
    </row>
    <row r="23" ht="14.25" customHeight="1">
      <c r="A23" s="1" t="s">
        <v>532</v>
      </c>
      <c r="B23" s="146">
        <f>'C2 Annual IS Forecast'!H32</f>
        <v>14430.72295</v>
      </c>
      <c r="C23" s="1"/>
      <c r="D23" s="1"/>
      <c r="E23" s="1"/>
      <c r="F23" s="1"/>
    </row>
    <row r="24" ht="14.25" customHeight="1">
      <c r="A24" s="1" t="s">
        <v>561</v>
      </c>
      <c r="B24" s="146">
        <f>C11*B22</f>
        <v>3339028.823</v>
      </c>
      <c r="C24" s="1"/>
      <c r="D24" s="1"/>
      <c r="E24" s="1"/>
      <c r="F24" s="1"/>
    </row>
    <row r="25" ht="14.25" customHeight="1">
      <c r="A25" s="1" t="s">
        <v>579</v>
      </c>
      <c r="B25" s="198">
        <f>D19</f>
        <v>0.5741838011</v>
      </c>
      <c r="C25" s="1"/>
      <c r="D25" s="1"/>
      <c r="E25" s="1"/>
      <c r="F25" s="1"/>
    </row>
    <row r="26" ht="14.25" customHeight="1">
      <c r="A26" s="18" t="s">
        <v>581</v>
      </c>
      <c r="B26" s="209">
        <f>(B24/B23)*(1+B25)</f>
        <v>364.2399</v>
      </c>
      <c r="C26" s="18"/>
      <c r="D26" s="18"/>
      <c r="E26" s="18"/>
      <c r="F26" s="18"/>
    </row>
    <row r="27" ht="14.25" customHeight="1">
      <c r="A27" s="121" t="s">
        <v>583</v>
      </c>
      <c r="B27" s="216">
        <f>G19</f>
        <v>0.419007679</v>
      </c>
      <c r="C27" s="1"/>
      <c r="D27" s="1"/>
      <c r="E27" s="1"/>
      <c r="F27" s="1"/>
      <c r="G27" s="1"/>
    </row>
    <row r="28" ht="14.25" customHeight="1">
      <c r="A28" s="217" t="s">
        <v>589</v>
      </c>
      <c r="B28" s="180">
        <f>D11*(1+B27)</f>
        <v>31.09045825</v>
      </c>
      <c r="C28" s="1"/>
      <c r="D28" s="1"/>
      <c r="E28" s="1"/>
      <c r="F28" s="1"/>
    </row>
    <row r="29" ht="14.25" customHeight="1">
      <c r="A29" s="1" t="s">
        <v>590</v>
      </c>
      <c r="B29" s="146">
        <f>'C2 Annual IS Forecast'!G22</f>
        <v>156934.9095</v>
      </c>
      <c r="C29" s="182"/>
      <c r="D29" s="182"/>
      <c r="E29" s="182"/>
      <c r="F29" s="182"/>
    </row>
    <row r="30" ht="14.25" customHeight="1">
      <c r="A30" s="1" t="s">
        <v>592</v>
      </c>
      <c r="B30" s="146">
        <f>B28*B29
+'G Annual BS Forecast'!B7
+'G Annual BS Forecast'!B8
+'G Annual BS Forecast'!B16
-'G Annual BS Forecast'!B27
-'G Annual BS Forecast'!B28
-'G Annual BS Forecast'!B31</f>
        <v>4931036.233</v>
      </c>
      <c r="C30" s="182"/>
      <c r="D30" s="182"/>
      <c r="E30" s="182"/>
      <c r="F30" s="182"/>
    </row>
    <row r="31" ht="14.25" customHeight="1">
      <c r="A31" s="18" t="s">
        <v>593</v>
      </c>
      <c r="B31" s="209">
        <f>B30/'C2 Annual IS Forecast'!F32</f>
        <v>336.5895039</v>
      </c>
      <c r="C31" s="18"/>
      <c r="D31" s="18"/>
      <c r="E31" s="18"/>
      <c r="F31" s="18"/>
    </row>
    <row r="32" ht="14.25" customHeight="1">
      <c r="A32" s="1" t="s">
        <v>595</v>
      </c>
      <c r="B32" s="192">
        <f>'H Flow to Equity'!K9</f>
        <v>332.89</v>
      </c>
      <c r="C32" s="1"/>
      <c r="D32" s="1"/>
      <c r="E32" s="1"/>
      <c r="F32" s="1"/>
    </row>
    <row r="33" ht="14.25" customHeight="1">
      <c r="A33" s="1" t="s">
        <v>597</v>
      </c>
      <c r="B33" s="196">
        <f>B26/B32-1</f>
        <v>0.09417495259</v>
      </c>
      <c r="C33" s="1"/>
      <c r="D33" s="1"/>
      <c r="E33" s="1"/>
      <c r="F33" s="1"/>
    </row>
    <row r="34" ht="14.25" customHeight="1">
      <c r="A34" s="1" t="s">
        <v>602</v>
      </c>
      <c r="B34" s="196">
        <f>B31/B32-1</f>
        <v>0.01111329251</v>
      </c>
      <c r="C34" s="1"/>
      <c r="D34" s="1"/>
      <c r="E34" s="1"/>
      <c r="F34" s="1"/>
    </row>
    <row r="35" ht="14.25" customHeight="1">
      <c r="A35" s="1"/>
      <c r="B35" s="1"/>
      <c r="C35" s="1"/>
      <c r="D35" s="1"/>
      <c r="E35" s="1"/>
      <c r="F35" s="1"/>
    </row>
    <row r="36" ht="22.5" customHeight="1">
      <c r="A36" s="9" t="s">
        <v>603</v>
      </c>
      <c r="B36" s="9"/>
      <c r="C36" s="9"/>
      <c r="D36" s="9"/>
      <c r="E36" s="9"/>
      <c r="F36" s="9"/>
    </row>
    <row r="37" ht="33.75" customHeight="1">
      <c r="A37" s="1" t="s">
        <v>472</v>
      </c>
      <c r="B37" s="1"/>
      <c r="C37" s="1"/>
      <c r="D37" s="1"/>
      <c r="E37" s="214" t="s">
        <v>608</v>
      </c>
      <c r="F37" s="1"/>
    </row>
    <row r="38" ht="33.75" customHeight="1">
      <c r="A38" s="1" t="s">
        <v>473</v>
      </c>
      <c r="B38" s="1"/>
      <c r="C38" s="1"/>
      <c r="D38" s="1"/>
      <c r="E38" s="214" t="s">
        <v>609</v>
      </c>
      <c r="F38" s="1"/>
    </row>
    <row r="39" ht="42.75" customHeight="1">
      <c r="A39" s="1" t="s">
        <v>610</v>
      </c>
      <c r="B39" s="1"/>
      <c r="C39" s="1"/>
      <c r="D39" s="1"/>
      <c r="E39" s="214" t="s">
        <v>611</v>
      </c>
      <c r="F39" s="1"/>
    </row>
    <row r="40" ht="33.75" customHeight="1">
      <c r="A40" s="1" t="s">
        <v>612</v>
      </c>
      <c r="B40" s="1"/>
      <c r="C40" s="1"/>
      <c r="D40" s="1"/>
      <c r="E40" s="214" t="s">
        <v>613</v>
      </c>
      <c r="F40" s="1"/>
    </row>
    <row r="41" ht="33.75" customHeight="1">
      <c r="A41" s="1" t="s">
        <v>615</v>
      </c>
      <c r="B41" s="1"/>
      <c r="C41" s="1"/>
      <c r="D41" s="1"/>
      <c r="E41" s="214" t="s">
        <v>616</v>
      </c>
      <c r="F41" s="1"/>
    </row>
    <row r="42" ht="14.25" customHeight="1">
      <c r="A42" s="1"/>
      <c r="B42" s="1"/>
      <c r="C42" s="1"/>
      <c r="D42" s="1"/>
      <c r="E42" s="1"/>
      <c r="F42" s="1"/>
    </row>
    <row r="43" ht="14.25" customHeight="1">
      <c r="A43" s="1"/>
      <c r="B43" s="1"/>
      <c r="C43" s="1"/>
      <c r="D43" s="1"/>
      <c r="E43" s="1"/>
      <c r="F43" s="1"/>
    </row>
    <row r="44" ht="14.25" customHeight="1">
      <c r="A44" s="222" t="s">
        <v>617</v>
      </c>
      <c r="B44" s="1"/>
      <c r="C44" s="1"/>
      <c r="D44" s="1"/>
      <c r="E44" s="1"/>
      <c r="F44" s="1"/>
    </row>
    <row r="45" ht="14.25" customHeight="1">
      <c r="A45" s="223" t="s">
        <v>506</v>
      </c>
      <c r="B45" s="223" t="s">
        <v>476</v>
      </c>
      <c r="C45" s="223" t="s">
        <v>618</v>
      </c>
      <c r="D45" s="223" t="s">
        <v>490</v>
      </c>
      <c r="E45" s="223" t="s">
        <v>619</v>
      </c>
      <c r="F45" s="223" t="s">
        <v>620</v>
      </c>
      <c r="G45" s="224" t="s">
        <v>505</v>
      </c>
    </row>
    <row r="46" ht="14.25" customHeight="1">
      <c r="A46" s="223">
        <v>2021.0</v>
      </c>
      <c r="B46" s="223">
        <v>36.96</v>
      </c>
      <c r="C46" s="223">
        <v>21.08</v>
      </c>
      <c r="D46" s="223">
        <v>19.86</v>
      </c>
      <c r="E46" s="223">
        <v>11.93</v>
      </c>
      <c r="F46" s="223">
        <v>20.1</v>
      </c>
      <c r="G46" s="225">
        <f t="shared" ref="G46:G50" si="4">MEDIAN(B46:F46)</f>
        <v>20.1</v>
      </c>
    </row>
    <row r="47" ht="14.25" customHeight="1">
      <c r="A47" s="223">
        <v>2022.0</v>
      </c>
      <c r="B47" s="223">
        <v>25.22</v>
      </c>
      <c r="C47" s="223">
        <v>16.6</v>
      </c>
      <c r="D47" s="223">
        <v>15.04</v>
      </c>
      <c r="E47" s="223">
        <v>14.32</v>
      </c>
      <c r="F47" s="223">
        <v>13.03</v>
      </c>
      <c r="G47" s="225">
        <f t="shared" si="4"/>
        <v>15.04</v>
      </c>
    </row>
    <row r="48" ht="14.25" customHeight="1">
      <c r="A48" s="223">
        <v>2023.0</v>
      </c>
      <c r="B48" s="223">
        <v>33.64</v>
      </c>
      <c r="C48" s="223">
        <v>21.13</v>
      </c>
      <c r="D48" s="223">
        <v>20.76</v>
      </c>
      <c r="E48" s="223" t="s">
        <v>624</v>
      </c>
      <c r="F48" s="223">
        <v>16.06</v>
      </c>
      <c r="G48" s="225">
        <f t="shared" si="4"/>
        <v>20.945</v>
      </c>
    </row>
    <row r="49" ht="14.25" customHeight="1">
      <c r="A49" s="223">
        <v>2024.0</v>
      </c>
      <c r="B49" s="223">
        <v>32.02</v>
      </c>
      <c r="C49" s="223">
        <v>18.16</v>
      </c>
      <c r="D49" s="223">
        <v>20.76</v>
      </c>
      <c r="E49" s="223">
        <v>9.41</v>
      </c>
      <c r="F49" s="223">
        <v>16.72</v>
      </c>
      <c r="G49" s="225">
        <f t="shared" si="4"/>
        <v>18.16</v>
      </c>
    </row>
    <row r="50" ht="14.25" customHeight="1">
      <c r="A50" s="223">
        <v>2025.0</v>
      </c>
      <c r="B50" s="223">
        <v>30.41</v>
      </c>
      <c r="C50" s="223">
        <v>24.48</v>
      </c>
      <c r="D50" s="223">
        <v>20.03</v>
      </c>
      <c r="E50" s="223">
        <v>10.61</v>
      </c>
      <c r="F50" s="223">
        <v>18.75</v>
      </c>
      <c r="G50" s="225">
        <f t="shared" si="4"/>
        <v>20.03</v>
      </c>
    </row>
    <row r="51" ht="14.25" customHeight="1">
      <c r="A51" s="1"/>
      <c r="B51" s="1"/>
      <c r="C51" s="1"/>
      <c r="D51" s="1"/>
      <c r="E51" s="1"/>
      <c r="F51" s="1"/>
      <c r="G51" s="225"/>
    </row>
    <row r="52" ht="14.25" customHeight="1">
      <c r="A52" s="1"/>
      <c r="B52" s="1"/>
      <c r="C52" s="1"/>
      <c r="D52" s="1"/>
      <c r="E52" s="1"/>
      <c r="F52" s="1"/>
    </row>
    <row r="53" ht="14.25" customHeight="1">
      <c r="A53" s="222" t="s">
        <v>629</v>
      </c>
      <c r="B53" s="1"/>
      <c r="C53" s="1"/>
      <c r="D53" s="1"/>
      <c r="E53" s="1"/>
      <c r="F53" s="1"/>
    </row>
    <row r="54" ht="14.25" customHeight="1">
      <c r="A54" s="223" t="s">
        <v>506</v>
      </c>
      <c r="B54" s="223" t="s">
        <v>476</v>
      </c>
      <c r="C54" s="223" t="s">
        <v>618</v>
      </c>
      <c r="D54" s="223" t="s">
        <v>490</v>
      </c>
      <c r="E54" s="223" t="s">
        <v>619</v>
      </c>
      <c r="F54" s="223" t="s">
        <v>620</v>
      </c>
      <c r="G54" s="224" t="s">
        <v>505</v>
      </c>
    </row>
    <row r="55" ht="14.25" customHeight="1">
      <c r="A55" s="223">
        <v>2021.0</v>
      </c>
      <c r="B55" s="223">
        <v>32.46</v>
      </c>
      <c r="C55" s="223">
        <v>21.57</v>
      </c>
      <c r="D55" s="223">
        <v>18.88</v>
      </c>
      <c r="E55" s="223">
        <v>9.2</v>
      </c>
      <c r="F55" s="223">
        <v>14.9</v>
      </c>
      <c r="G55" s="225">
        <f t="shared" ref="G55:G59" si="5">MEDIAN(B55:F55)</f>
        <v>18.88</v>
      </c>
    </row>
    <row r="56" ht="14.25" customHeight="1">
      <c r="A56" s="223">
        <v>2022.0</v>
      </c>
      <c r="B56" s="223">
        <v>20.58</v>
      </c>
      <c r="C56" s="223">
        <v>13.72</v>
      </c>
      <c r="D56" s="223">
        <v>8.56</v>
      </c>
      <c r="E56" s="223">
        <v>4.87</v>
      </c>
      <c r="F56" s="223">
        <v>11.31</v>
      </c>
      <c r="G56" s="225">
        <f t="shared" si="5"/>
        <v>11.31</v>
      </c>
    </row>
    <row r="57" ht="14.25" customHeight="1">
      <c r="A57" s="223">
        <v>2023.0</v>
      </c>
      <c r="B57" s="223">
        <v>29.26</v>
      </c>
      <c r="C57" s="223">
        <v>22.09</v>
      </c>
      <c r="D57" s="223">
        <v>24.58</v>
      </c>
      <c r="E57" s="223" t="s">
        <v>624</v>
      </c>
      <c r="F57" s="223">
        <v>17.58</v>
      </c>
      <c r="G57" s="225">
        <f t="shared" si="5"/>
        <v>23.335</v>
      </c>
    </row>
    <row r="58" ht="14.25" customHeight="1">
      <c r="A58" s="223">
        <v>2024.0</v>
      </c>
      <c r="B58" s="223">
        <v>28.06</v>
      </c>
      <c r="C58" s="223">
        <v>20.95</v>
      </c>
      <c r="D58" s="223">
        <v>23.43</v>
      </c>
      <c r="E58" s="223">
        <v>9.46</v>
      </c>
      <c r="F58" s="223">
        <v>14.46</v>
      </c>
      <c r="G58" s="225">
        <f t="shared" si="5"/>
        <v>20.95</v>
      </c>
    </row>
    <row r="59" ht="14.25" customHeight="1">
      <c r="A59" s="223">
        <v>2025.0</v>
      </c>
      <c r="B59" s="223">
        <v>27.93</v>
      </c>
      <c r="C59" s="223">
        <v>25.07</v>
      </c>
      <c r="D59" s="223">
        <v>20.16</v>
      </c>
      <c r="E59" s="223">
        <v>21.55</v>
      </c>
      <c r="F59" s="223">
        <v>15.58</v>
      </c>
      <c r="G59" s="225">
        <f t="shared" si="5"/>
        <v>21.55</v>
      </c>
    </row>
    <row r="60" ht="14.25" customHeight="1">
      <c r="A60" s="1"/>
      <c r="B60" s="1"/>
      <c r="C60" s="1"/>
      <c r="D60" s="1"/>
      <c r="E60" s="1"/>
      <c r="F60" s="1"/>
    </row>
    <row r="61" ht="14.25" customHeight="1">
      <c r="A61" s="1"/>
      <c r="B61" s="1"/>
      <c r="C61" s="1"/>
      <c r="D61" s="1"/>
      <c r="E61" s="1"/>
      <c r="F61" s="1"/>
    </row>
    <row r="62" ht="14.25" customHeight="1">
      <c r="A62" s="222" t="s">
        <v>639</v>
      </c>
      <c r="B62" s="222" t="s">
        <v>16</v>
      </c>
      <c r="C62" s="1"/>
      <c r="D62" s="1"/>
      <c r="E62" s="1"/>
      <c r="F62" s="1"/>
    </row>
    <row r="63" ht="14.25" customHeight="1">
      <c r="A63" s="223" t="s">
        <v>640</v>
      </c>
      <c r="B63" s="226" t="s">
        <v>641</v>
      </c>
      <c r="C63" s="1"/>
      <c r="D63" s="1"/>
      <c r="E63" s="1"/>
      <c r="F63" s="1"/>
    </row>
    <row r="64" ht="14.25" customHeight="1">
      <c r="A64" s="223" t="s">
        <v>475</v>
      </c>
      <c r="B64" s="226" t="s">
        <v>645</v>
      </c>
      <c r="C64" s="1"/>
      <c r="D64" s="1"/>
      <c r="E64" s="1"/>
      <c r="F64" s="1"/>
    </row>
    <row r="65" ht="14.25" customHeight="1">
      <c r="A65" s="223" t="s">
        <v>648</v>
      </c>
      <c r="B65" s="226" t="s">
        <v>649</v>
      </c>
      <c r="C65" s="1"/>
      <c r="D65" s="1"/>
      <c r="E65" s="1"/>
      <c r="F65" s="1"/>
    </row>
    <row r="66" ht="14.25" customHeight="1">
      <c r="A66" s="223" t="s">
        <v>652</v>
      </c>
      <c r="B66" s="226" t="s">
        <v>653</v>
      </c>
      <c r="C66" s="1"/>
      <c r="D66" s="1"/>
      <c r="E66" s="1"/>
      <c r="F66" s="1"/>
    </row>
    <row r="67" ht="14.25" customHeight="1">
      <c r="A67" s="223" t="s">
        <v>619</v>
      </c>
      <c r="B67" s="226" t="s">
        <v>655</v>
      </c>
      <c r="C67" s="1"/>
      <c r="D67" s="1"/>
      <c r="E67" s="1"/>
      <c r="F67" s="1"/>
    </row>
    <row r="68" ht="14.25" customHeight="1">
      <c r="A68" s="223" t="s">
        <v>620</v>
      </c>
      <c r="B68" s="226" t="s">
        <v>662</v>
      </c>
      <c r="C68" s="1"/>
      <c r="D68" s="1"/>
      <c r="E68" s="1"/>
      <c r="F68" s="1"/>
    </row>
    <row r="69" ht="14.25" customHeight="1">
      <c r="A69" s="1"/>
      <c r="B69" s="1"/>
      <c r="C69" s="1"/>
      <c r="D69" s="1"/>
      <c r="E69" s="1"/>
      <c r="F69" s="1"/>
    </row>
    <row r="70" ht="14.25" customHeight="1">
      <c r="A70" s="224" t="s">
        <v>663</v>
      </c>
      <c r="B70" s="1"/>
      <c r="C70" s="1"/>
      <c r="D70" s="1"/>
      <c r="E70" s="1"/>
      <c r="F70" s="1"/>
    </row>
    <row r="71" ht="14.25" customHeight="1">
      <c r="A71" s="224" t="s">
        <v>664</v>
      </c>
      <c r="B71" s="1"/>
      <c r="C71" s="1"/>
      <c r="D71" s="1"/>
      <c r="E71" s="1"/>
      <c r="F71" s="1"/>
    </row>
    <row r="72" ht="14.25" customHeight="1">
      <c r="A72" s="1"/>
      <c r="B72" s="1"/>
      <c r="C72" s="1"/>
      <c r="D72" s="1"/>
      <c r="E72" s="1"/>
      <c r="F72" s="1"/>
    </row>
    <row r="73" ht="14.25" customHeight="1">
      <c r="A73" s="1"/>
      <c r="B73" s="1"/>
      <c r="C73" s="1"/>
      <c r="D73" s="1"/>
      <c r="E73" s="1"/>
      <c r="F73" s="1"/>
    </row>
    <row r="74" ht="14.25" customHeight="1">
      <c r="A74" s="1"/>
      <c r="B74" s="1"/>
      <c r="C74" s="1"/>
      <c r="D74" s="1"/>
      <c r="E74" s="1"/>
      <c r="F74" s="1"/>
    </row>
    <row r="75" ht="14.25" customHeight="1">
      <c r="A75" s="1"/>
      <c r="B75" s="1"/>
      <c r="C75" s="1"/>
      <c r="D75" s="1"/>
      <c r="E75" s="1"/>
      <c r="F75" s="1"/>
    </row>
    <row r="76" ht="14.25" customHeight="1">
      <c r="A76" s="1"/>
      <c r="B76" s="1"/>
      <c r="C76" s="1"/>
      <c r="D76" s="1"/>
      <c r="E76" s="1"/>
      <c r="F76" s="1"/>
    </row>
    <row r="77" ht="14.25" customHeight="1">
      <c r="A77" s="1"/>
      <c r="B77" s="1"/>
      <c r="C77" s="1"/>
      <c r="D77" s="1"/>
      <c r="E77" s="1"/>
      <c r="F77" s="1"/>
    </row>
    <row r="78" ht="14.25" customHeight="1">
      <c r="A78" s="1"/>
      <c r="B78" s="1"/>
      <c r="C78" s="1"/>
      <c r="D78" s="1"/>
      <c r="E78" s="1"/>
      <c r="F78" s="1"/>
    </row>
    <row r="79" ht="14.25" customHeight="1">
      <c r="A79" s="1"/>
      <c r="B79" s="1"/>
      <c r="C79" s="1"/>
      <c r="D79" s="1"/>
      <c r="E79" s="1"/>
      <c r="F79" s="1"/>
    </row>
    <row r="80" ht="14.25" customHeight="1">
      <c r="A80" s="1"/>
      <c r="B80" s="1"/>
      <c r="C80" s="1"/>
      <c r="D80" s="1"/>
      <c r="E80" s="1"/>
      <c r="F80" s="1"/>
    </row>
    <row r="81" ht="14.25" customHeight="1">
      <c r="A81" s="1"/>
      <c r="B81" s="1"/>
      <c r="C81" s="1"/>
      <c r="D81" s="1"/>
      <c r="E81" s="1"/>
      <c r="F81" s="1"/>
    </row>
    <row r="82" ht="14.25" customHeight="1">
      <c r="A82" s="1"/>
      <c r="B82" s="1"/>
      <c r="C82" s="1"/>
      <c r="D82" s="1"/>
      <c r="E82" s="1"/>
      <c r="F82" s="1"/>
    </row>
    <row r="83" ht="14.25" customHeight="1">
      <c r="A83" s="1"/>
      <c r="B83" s="1"/>
      <c r="C83" s="1"/>
      <c r="D83" s="1"/>
      <c r="E83" s="1"/>
      <c r="F83" s="1"/>
    </row>
    <row r="84" ht="14.25" customHeight="1">
      <c r="A84" s="1"/>
      <c r="B84" s="1"/>
      <c r="C84" s="1"/>
      <c r="D84" s="1"/>
      <c r="E84" s="1"/>
      <c r="F84" s="1"/>
    </row>
    <row r="85" ht="14.25" customHeight="1">
      <c r="A85" s="1"/>
      <c r="B85" s="1"/>
      <c r="C85" s="1"/>
      <c r="D85" s="1"/>
      <c r="E85" s="1"/>
      <c r="F85" s="1"/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7"/>
    <hyperlink r:id="rId2" ref="F9"/>
    <hyperlink r:id="rId3" ref="F10"/>
    <hyperlink r:id="rId4" ref="B63"/>
    <hyperlink r:id="rId5" ref="B64"/>
    <hyperlink r:id="rId6" ref="B65"/>
    <hyperlink r:id="rId7" ref="B66"/>
    <hyperlink r:id="rId8" ref="B67"/>
    <hyperlink r:id="rId9" ref="B68"/>
  </hyperlinks>
  <printOptions/>
  <pageMargins bottom="0.75" footer="0.0" header="0.0" left="0.7" right="0.7" top="0.75"/>
  <pageSetup paperSize="9" orientation="portrait"/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657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0.0"/>
    <col customWidth="1" min="2" max="2" width="20.0"/>
    <col customWidth="1" min="3" max="3" width="19.0"/>
    <col customWidth="1" min="4" max="4" width="24.0"/>
    <col customWidth="1" min="5" max="5" width="68.0"/>
    <col customWidth="1" min="6" max="6" width="52.0"/>
    <col customWidth="1" min="7" max="26" width="9.0"/>
  </cols>
  <sheetData>
    <row r="1" ht="14.25" customHeight="1">
      <c r="A1" s="1"/>
      <c r="B1" s="1"/>
      <c r="C1" s="1"/>
      <c r="D1" s="1"/>
      <c r="E1" s="1"/>
      <c r="F1" s="1"/>
    </row>
    <row r="2" ht="31.5" customHeight="1">
      <c r="A2" s="133" t="s">
        <v>508</v>
      </c>
      <c r="B2" s="133"/>
      <c r="C2" s="133"/>
      <c r="D2" s="133"/>
      <c r="E2" s="133"/>
      <c r="F2" s="133"/>
    </row>
    <row r="3" ht="14.25" customHeight="1">
      <c r="A3" s="135" t="s">
        <v>513</v>
      </c>
      <c r="B3" s="135"/>
      <c r="C3" s="135"/>
      <c r="D3" s="135"/>
      <c r="E3" s="135"/>
      <c r="F3" s="135"/>
    </row>
    <row r="4" ht="14.25" customHeight="1">
      <c r="A4" s="1"/>
      <c r="B4" s="1"/>
      <c r="C4" s="1"/>
      <c r="D4" s="1"/>
      <c r="E4" s="1"/>
      <c r="F4" s="1"/>
    </row>
    <row r="5" ht="14.25" customHeight="1">
      <c r="A5" s="6" t="s">
        <v>515</v>
      </c>
      <c r="B5" s="6" t="s">
        <v>516</v>
      </c>
      <c r="C5" s="6" t="s">
        <v>517</v>
      </c>
      <c r="D5" s="6" t="s">
        <v>518</v>
      </c>
      <c r="E5" s="6" t="s">
        <v>519</v>
      </c>
      <c r="F5" s="1"/>
    </row>
    <row r="6" ht="14.25" customHeight="1">
      <c r="A6" s="1" t="s">
        <v>520</v>
      </c>
      <c r="B6" s="192">
        <f>'H Flow to Equity'!K21</f>
        <v>233.4902697</v>
      </c>
      <c r="C6" s="196">
        <f>'H Flow to Equity'!K22</f>
        <v>-0.298596324</v>
      </c>
      <c r="D6" s="146">
        <f>'H Flow to Equity'!K20</f>
        <v>3420632.451</v>
      </c>
      <c r="E6" s="1" t="s">
        <v>525</v>
      </c>
      <c r="F6" s="1"/>
    </row>
    <row r="7" ht="14.25" customHeight="1">
      <c r="A7" s="1" t="s">
        <v>454</v>
      </c>
      <c r="B7" s="192">
        <f>'I Residual Income'!K22</f>
        <v>233.4902697</v>
      </c>
      <c r="C7" s="196">
        <f t="shared" ref="C7:C9" si="1">B7/$B$11-1</f>
        <v>-0.298596324</v>
      </c>
      <c r="D7" s="146">
        <f>'I Residual Income'!K21</f>
        <v>3420632.451</v>
      </c>
      <c r="E7" s="1" t="s">
        <v>530</v>
      </c>
      <c r="F7" s="1"/>
    </row>
    <row r="8" ht="14.25" customHeight="1">
      <c r="A8" s="1" t="s">
        <v>531</v>
      </c>
      <c r="B8" s="192">
        <f>'J Relative Valuation'!B26</f>
        <v>364.2399</v>
      </c>
      <c r="C8" s="196">
        <f t="shared" si="1"/>
        <v>0.09417495259</v>
      </c>
      <c r="D8" s="146">
        <f>'J Relative Valuation'!B24*(1+'J Relative Valuation'!B25)</f>
        <v>5256245.084</v>
      </c>
      <c r="E8" s="1" t="s">
        <v>536</v>
      </c>
      <c r="F8" s="1"/>
    </row>
    <row r="9" ht="14.25" customHeight="1">
      <c r="A9" s="1" t="s">
        <v>538</v>
      </c>
      <c r="B9" s="192">
        <f>'J Relative Valuation'!B31</f>
        <v>336.5895039</v>
      </c>
      <c r="C9" s="196">
        <f t="shared" si="1"/>
        <v>0.01111329251</v>
      </c>
      <c r="D9" s="146">
        <f>'J Relative Valuation'!B30</f>
        <v>4931036.233</v>
      </c>
      <c r="E9" s="1" t="s">
        <v>540</v>
      </c>
      <c r="F9" s="1"/>
    </row>
    <row r="10" ht="14.25" customHeight="1">
      <c r="A10" s="1"/>
      <c r="B10" s="192"/>
      <c r="C10" s="1"/>
      <c r="D10" s="1"/>
      <c r="E10" s="1"/>
      <c r="F10" s="1"/>
    </row>
    <row r="11" ht="14.25" customHeight="1">
      <c r="A11" s="18" t="s">
        <v>541</v>
      </c>
      <c r="B11" s="209">
        <f>'H Flow to Equity'!K9</f>
        <v>332.89</v>
      </c>
      <c r="C11" s="18"/>
      <c r="D11" s="18"/>
      <c r="E11" s="18" t="s">
        <v>542</v>
      </c>
      <c r="F11" s="1"/>
    </row>
    <row r="12" ht="14.25" customHeight="1">
      <c r="A12" s="18" t="s">
        <v>543</v>
      </c>
      <c r="B12" s="18" t="str">
        <f>IF(MAX(B6:B9)&lt;B11,"SELL",IF(MIN(B6:B9)&gt;B11,"BUY","HOLD"))</f>
        <v>HOLD</v>
      </c>
      <c r="C12" s="18"/>
      <c r="D12" s="18"/>
      <c r="E12" s="18" t="s">
        <v>548</v>
      </c>
      <c r="F12" s="1"/>
    </row>
    <row r="13" ht="14.25" customHeight="1">
      <c r="A13" s="1"/>
      <c r="B13" s="1"/>
      <c r="C13" s="1"/>
      <c r="D13" s="1"/>
      <c r="E13" s="1"/>
      <c r="F13" s="1"/>
    </row>
    <row r="14" ht="14.25" customHeight="1">
      <c r="A14" s="1"/>
      <c r="B14" s="1"/>
      <c r="C14" s="1"/>
      <c r="D14" s="1"/>
      <c r="E14" s="1"/>
      <c r="F14" s="1"/>
    </row>
    <row r="15" ht="22.5" customHeight="1">
      <c r="A15" s="9" t="s">
        <v>549</v>
      </c>
      <c r="B15" s="9"/>
      <c r="C15" s="9"/>
      <c r="D15" s="9"/>
      <c r="E15" s="9"/>
      <c r="F15" s="9"/>
    </row>
    <row r="16" ht="14.25" customHeight="1">
      <c r="A16" s="1" t="s">
        <v>550</v>
      </c>
      <c r="B16" s="146">
        <f>'C2 Annual IS Forecast'!G9</f>
        <v>477521.02</v>
      </c>
      <c r="C16" s="1"/>
      <c r="D16" s="1"/>
      <c r="E16" s="1"/>
      <c r="F16" s="1"/>
    </row>
    <row r="17" ht="14.25" customHeight="1">
      <c r="A17" s="1" t="s">
        <v>551</v>
      </c>
      <c r="B17" s="146">
        <f>'C2 Annual IS Forecast'!M9</f>
        <v>688982.4152</v>
      </c>
      <c r="C17" s="1"/>
      <c r="D17" s="1"/>
      <c r="E17" s="1"/>
      <c r="F17" s="1"/>
    </row>
    <row r="18" ht="14.25" customHeight="1">
      <c r="A18" s="1" t="s">
        <v>552</v>
      </c>
      <c r="B18" s="196">
        <f>'C2 Annual IS Forecast'!M31</f>
        <v>0.3088248004</v>
      </c>
      <c r="C18" s="1"/>
      <c r="D18" s="1"/>
      <c r="E18" s="1"/>
      <c r="F18" s="1"/>
    </row>
    <row r="19" ht="14.25" customHeight="1">
      <c r="A19" s="1" t="s">
        <v>553</v>
      </c>
      <c r="B19" s="196">
        <f>'G Annual BS Forecast'!B58</f>
        <v>0.7882971966</v>
      </c>
      <c r="C19" s="1"/>
      <c r="D19" s="1"/>
      <c r="E19" s="1"/>
      <c r="F19" s="1"/>
    </row>
    <row r="20" ht="14.25" customHeight="1">
      <c r="A20" s="1" t="s">
        <v>554</v>
      </c>
      <c r="B20" s="196">
        <f>'G Annual BS Forecast'!H58</f>
        <v>0.3375992549</v>
      </c>
      <c r="C20" s="1"/>
      <c r="D20" s="1"/>
      <c r="E20" s="1"/>
      <c r="F20" s="1"/>
    </row>
    <row r="21" ht="14.25" customHeight="1">
      <c r="A21" s="1" t="s">
        <v>555</v>
      </c>
      <c r="B21" s="184">
        <f>'J Relative Valuation'!C11</f>
        <v>22.97</v>
      </c>
      <c r="C21" s="1"/>
      <c r="D21" s="1"/>
      <c r="E21" s="1"/>
      <c r="F21" s="1"/>
    </row>
    <row r="22" ht="14.25" customHeight="1">
      <c r="A22" s="1" t="s">
        <v>556</v>
      </c>
      <c r="B22" s="184">
        <v>36.17</v>
      </c>
      <c r="C22" s="1"/>
      <c r="D22" s="1"/>
      <c r="E22" s="1"/>
      <c r="F22" s="1"/>
    </row>
    <row r="23" ht="14.25" customHeight="1">
      <c r="A23" s="1" t="s">
        <v>557</v>
      </c>
      <c r="B23" s="184">
        <f>'J Relative Valuation'!D11</f>
        <v>21.91</v>
      </c>
      <c r="C23" s="1"/>
      <c r="D23" s="1"/>
      <c r="E23" s="1"/>
      <c r="F23" s="1"/>
    </row>
    <row r="24" ht="14.25" customHeight="1">
      <c r="A24" s="1" t="s">
        <v>558</v>
      </c>
      <c r="B24" s="184">
        <v>31.68</v>
      </c>
      <c r="C24" s="1"/>
      <c r="D24" s="1"/>
      <c r="E24" s="1"/>
      <c r="F24" s="1"/>
    </row>
    <row r="25" ht="14.25" customHeight="1">
      <c r="A25" s="1" t="s">
        <v>559</v>
      </c>
      <c r="B25" s="196">
        <f>'H Flow to Equity'!K23</f>
        <v>0.7844896091</v>
      </c>
      <c r="C25" s="1"/>
      <c r="D25" s="1"/>
      <c r="E25" s="1"/>
      <c r="F25" s="1"/>
    </row>
    <row r="26" ht="14.25" customHeight="1">
      <c r="A26" s="1"/>
      <c r="B26" s="1"/>
      <c r="C26" s="1"/>
      <c r="D26" s="1"/>
      <c r="E26" s="1"/>
      <c r="F26" s="1"/>
    </row>
    <row r="27" ht="14.25" customHeight="1">
      <c r="A27" s="1"/>
      <c r="B27" s="1"/>
      <c r="C27" s="1"/>
      <c r="D27" s="1"/>
      <c r="E27" s="1"/>
      <c r="F27" s="1"/>
    </row>
    <row r="28" ht="22.5" customHeight="1">
      <c r="A28" s="9" t="s">
        <v>560</v>
      </c>
      <c r="B28" s="9"/>
      <c r="C28" s="9"/>
      <c r="D28" s="9"/>
      <c r="E28" s="9"/>
      <c r="F28" s="9"/>
    </row>
    <row r="29" ht="37.5" customHeight="1">
      <c r="A29" s="1" t="s">
        <v>562</v>
      </c>
      <c r="B29" s="1"/>
      <c r="C29" s="1"/>
      <c r="D29" s="1"/>
      <c r="E29" s="214" t="s">
        <v>564</v>
      </c>
      <c r="F29" s="1"/>
    </row>
    <row r="30" ht="37.5" customHeight="1">
      <c r="A30" s="1" t="s">
        <v>565</v>
      </c>
      <c r="B30" s="1"/>
      <c r="C30" s="1"/>
      <c r="D30" s="1"/>
      <c r="E30" s="214" t="s">
        <v>566</v>
      </c>
      <c r="F30" s="1"/>
    </row>
    <row r="31" ht="37.5" customHeight="1">
      <c r="A31" s="1" t="s">
        <v>567</v>
      </c>
      <c r="B31" s="1"/>
      <c r="C31" s="1"/>
      <c r="D31" s="1"/>
      <c r="E31" s="214" t="s">
        <v>568</v>
      </c>
      <c r="F31" s="1"/>
    </row>
    <row r="32" ht="37.5" customHeight="1">
      <c r="A32" s="1" t="s">
        <v>569</v>
      </c>
      <c r="B32" s="1"/>
      <c r="C32" s="1"/>
      <c r="D32" s="1"/>
      <c r="E32" s="214" t="s">
        <v>570</v>
      </c>
      <c r="F32" s="1"/>
    </row>
    <row r="33" ht="37.5" customHeight="1">
      <c r="A33" s="1" t="s">
        <v>571</v>
      </c>
      <c r="B33" s="1"/>
      <c r="C33" s="1"/>
      <c r="D33" s="1"/>
      <c r="E33" s="214" t="s">
        <v>573</v>
      </c>
      <c r="F33" s="1"/>
    </row>
    <row r="34" ht="37.5" customHeight="1">
      <c r="A34" s="1" t="s">
        <v>574</v>
      </c>
      <c r="B34" s="1"/>
      <c r="C34" s="1"/>
      <c r="D34" s="1"/>
      <c r="E34" s="214" t="s">
        <v>575</v>
      </c>
      <c r="F34" s="1"/>
    </row>
    <row r="35" ht="37.5" customHeight="1">
      <c r="A35" s="1" t="s">
        <v>576</v>
      </c>
      <c r="B35" s="1"/>
      <c r="C35" s="1"/>
      <c r="D35" s="1"/>
      <c r="E35" s="214" t="s">
        <v>577</v>
      </c>
      <c r="F35" s="1"/>
    </row>
    <row r="36" ht="14.25" customHeight="1">
      <c r="A36" s="1"/>
      <c r="B36" s="1"/>
      <c r="C36" s="1"/>
      <c r="D36" s="1"/>
      <c r="E36" s="1"/>
      <c r="F36" s="1"/>
    </row>
    <row r="37" ht="14.25" customHeight="1">
      <c r="A37" s="1"/>
      <c r="B37" s="1"/>
      <c r="C37" s="1"/>
      <c r="D37" s="1"/>
      <c r="E37" s="1"/>
      <c r="F37" s="1"/>
    </row>
    <row r="38" ht="14.25" customHeight="1">
      <c r="A38" s="1"/>
      <c r="B38" s="1"/>
      <c r="C38" s="1"/>
      <c r="D38" s="1"/>
      <c r="E38" s="1"/>
      <c r="F38" s="1"/>
    </row>
    <row r="39" ht="14.25" customHeight="1">
      <c r="A39" s="1"/>
      <c r="B39" s="1"/>
      <c r="C39" s="1"/>
      <c r="D39" s="1"/>
      <c r="E39" s="1"/>
      <c r="F39" s="1"/>
    </row>
    <row r="40" ht="14.25" customHeight="1">
      <c r="A40" s="1"/>
      <c r="B40" s="1"/>
      <c r="C40" s="1"/>
      <c r="D40" s="1"/>
      <c r="E40" s="1"/>
      <c r="F40" s="1"/>
    </row>
    <row r="41" ht="14.25" customHeight="1">
      <c r="A41" s="1"/>
      <c r="B41" s="1"/>
      <c r="C41" s="1"/>
      <c r="D41" s="1"/>
      <c r="E41" s="1"/>
      <c r="F41" s="1"/>
    </row>
    <row r="42" ht="14.25" customHeight="1">
      <c r="A42" s="1"/>
      <c r="B42" s="1"/>
      <c r="C42" s="1"/>
      <c r="D42" s="1"/>
      <c r="E42" s="1"/>
      <c r="F42" s="1"/>
    </row>
    <row r="43" ht="14.25" customHeight="1">
      <c r="A43" s="1"/>
      <c r="B43" s="1"/>
      <c r="C43" s="1"/>
      <c r="D43" s="1"/>
      <c r="E43" s="1"/>
      <c r="F43" s="1"/>
    </row>
    <row r="44" ht="14.25" customHeight="1">
      <c r="A44" s="1"/>
      <c r="B44" s="1"/>
      <c r="C44" s="1"/>
      <c r="D44" s="1"/>
      <c r="E44" s="1"/>
      <c r="F44" s="1"/>
    </row>
    <row r="45" ht="14.25" customHeight="1">
      <c r="A45" s="1"/>
      <c r="B45" s="1"/>
      <c r="C45" s="1"/>
      <c r="D45" s="1"/>
      <c r="E45" s="1"/>
      <c r="F45" s="1"/>
    </row>
    <row r="46" ht="14.25" customHeight="1">
      <c r="A46" s="1"/>
      <c r="B46" s="1"/>
      <c r="C46" s="1"/>
      <c r="D46" s="1"/>
      <c r="E46" s="1"/>
      <c r="F46" s="1"/>
    </row>
    <row r="47" ht="14.25" customHeight="1">
      <c r="A47" s="1"/>
      <c r="B47" s="1"/>
      <c r="C47" s="1"/>
      <c r="D47" s="1"/>
      <c r="E47" s="1"/>
      <c r="F47" s="1"/>
    </row>
    <row r="48" ht="14.25" customHeight="1">
      <c r="A48" s="1"/>
      <c r="B48" s="1"/>
      <c r="C48" s="1"/>
      <c r="D48" s="1"/>
      <c r="E48" s="1"/>
      <c r="F48" s="1"/>
    </row>
    <row r="49" ht="14.25" customHeight="1">
      <c r="A49" s="1"/>
      <c r="B49" s="1"/>
      <c r="C49" s="1"/>
      <c r="D49" s="1"/>
      <c r="E49" s="1"/>
      <c r="F49" s="1"/>
    </row>
    <row r="50" ht="14.25" customHeight="1">
      <c r="A50" s="1"/>
      <c r="B50" s="1"/>
      <c r="C50" s="1"/>
      <c r="D50" s="1"/>
      <c r="E50" s="1"/>
      <c r="F50" s="1"/>
    </row>
    <row r="51" ht="14.25" customHeight="1">
      <c r="A51" s="1"/>
      <c r="B51" s="1"/>
      <c r="C51" s="1"/>
      <c r="D51" s="1"/>
      <c r="E51" s="1"/>
      <c r="F51" s="1"/>
    </row>
    <row r="52" ht="14.25" customHeight="1">
      <c r="A52" s="1"/>
      <c r="B52" s="1"/>
      <c r="C52" s="1"/>
      <c r="D52" s="1"/>
      <c r="E52" s="1"/>
      <c r="F52" s="1"/>
    </row>
    <row r="53" ht="14.25" customHeight="1">
      <c r="A53" s="1"/>
      <c r="B53" s="1"/>
      <c r="C53" s="1"/>
      <c r="D53" s="1"/>
      <c r="E53" s="1"/>
      <c r="F53" s="1"/>
    </row>
    <row r="54" ht="14.25" customHeight="1">
      <c r="A54" s="1"/>
      <c r="B54" s="1"/>
      <c r="C54" s="1"/>
      <c r="D54" s="1"/>
      <c r="E54" s="1"/>
      <c r="F54" s="1"/>
    </row>
    <row r="55" ht="14.25" customHeight="1">
      <c r="A55" s="1"/>
      <c r="B55" s="1"/>
      <c r="C55" s="1"/>
      <c r="D55" s="1"/>
      <c r="E55" s="1"/>
      <c r="F55" s="1"/>
    </row>
    <row r="56" ht="14.25" customHeight="1">
      <c r="A56" s="1"/>
      <c r="B56" s="1"/>
      <c r="C56" s="1"/>
      <c r="D56" s="1"/>
      <c r="E56" s="1"/>
      <c r="F56" s="1"/>
    </row>
    <row r="57" ht="14.25" customHeight="1">
      <c r="A57" s="1"/>
      <c r="B57" s="1"/>
      <c r="C57" s="1"/>
      <c r="D57" s="1"/>
      <c r="E57" s="1"/>
      <c r="F57" s="1"/>
    </row>
    <row r="58" ht="14.25" customHeight="1">
      <c r="A58" s="1"/>
      <c r="B58" s="1"/>
      <c r="C58" s="1"/>
      <c r="D58" s="1"/>
      <c r="E58" s="1"/>
      <c r="F58" s="1"/>
    </row>
    <row r="59" ht="14.25" customHeight="1">
      <c r="A59" s="1"/>
      <c r="B59" s="1"/>
      <c r="C59" s="1"/>
      <c r="D59" s="1"/>
      <c r="E59" s="1"/>
      <c r="F59" s="1"/>
    </row>
    <row r="60" ht="14.25" customHeight="1">
      <c r="A60" s="1"/>
      <c r="B60" s="1"/>
      <c r="C60" s="1"/>
      <c r="D60" s="1"/>
      <c r="E60" s="1"/>
      <c r="F60" s="1"/>
    </row>
    <row r="61" ht="14.25" customHeight="1">
      <c r="A61" s="1"/>
      <c r="B61" s="1"/>
      <c r="C61" s="1"/>
      <c r="D61" s="1"/>
      <c r="E61" s="1"/>
      <c r="F61" s="1"/>
    </row>
    <row r="62" ht="14.25" customHeight="1">
      <c r="A62" s="1"/>
      <c r="B62" s="1"/>
      <c r="C62" s="1"/>
      <c r="D62" s="1"/>
      <c r="E62" s="1"/>
      <c r="F62" s="1"/>
    </row>
    <row r="63" ht="14.25" customHeight="1">
      <c r="A63" s="1"/>
      <c r="B63" s="1"/>
      <c r="C63" s="1"/>
      <c r="D63" s="1"/>
      <c r="E63" s="1"/>
      <c r="F63" s="1"/>
    </row>
    <row r="64" ht="14.25" customHeight="1">
      <c r="A64" s="1"/>
      <c r="B64" s="1"/>
      <c r="C64" s="1"/>
      <c r="D64" s="1"/>
      <c r="E64" s="1"/>
      <c r="F64" s="1"/>
    </row>
    <row r="65" ht="14.25" customHeight="1">
      <c r="A65" s="1"/>
      <c r="B65" s="1"/>
      <c r="C65" s="1"/>
      <c r="D65" s="1"/>
      <c r="E65" s="1"/>
      <c r="F65" s="1"/>
    </row>
    <row r="66" ht="14.25" customHeight="1">
      <c r="A66" s="1"/>
      <c r="B66" s="1"/>
      <c r="C66" s="1"/>
      <c r="D66" s="1"/>
      <c r="E66" s="1"/>
      <c r="F66" s="1"/>
    </row>
    <row r="67" ht="14.25" customHeight="1">
      <c r="A67" s="1"/>
      <c r="B67" s="1"/>
      <c r="C67" s="1"/>
      <c r="D67" s="1"/>
      <c r="E67" s="1"/>
      <c r="F67" s="1"/>
    </row>
    <row r="68" ht="14.25" customHeight="1">
      <c r="A68" s="1"/>
      <c r="B68" s="1"/>
      <c r="C68" s="1"/>
      <c r="D68" s="1"/>
      <c r="E68" s="1"/>
      <c r="F68" s="1"/>
    </row>
    <row r="69" ht="14.25" customHeight="1">
      <c r="A69" s="1"/>
      <c r="B69" s="1"/>
      <c r="C69" s="1"/>
      <c r="D69" s="1"/>
      <c r="E69" s="1"/>
      <c r="F69" s="1"/>
    </row>
    <row r="70" ht="14.25" customHeight="1">
      <c r="A70" s="1"/>
      <c r="B70" s="1"/>
      <c r="C70" s="1"/>
      <c r="D70" s="1"/>
      <c r="E70" s="1"/>
      <c r="F70" s="1"/>
    </row>
    <row r="71" ht="14.25" customHeight="1">
      <c r="A71" s="1"/>
      <c r="B71" s="1"/>
      <c r="C71" s="1"/>
      <c r="D71" s="1"/>
      <c r="E71" s="1"/>
      <c r="F71" s="1"/>
    </row>
    <row r="72" ht="14.25" customHeight="1">
      <c r="A72" s="1"/>
      <c r="B72" s="1"/>
      <c r="C72" s="1"/>
      <c r="D72" s="1"/>
      <c r="E72" s="1"/>
      <c r="F72" s="1"/>
    </row>
    <row r="73" ht="14.25" customHeight="1">
      <c r="A73" s="1"/>
      <c r="B73" s="1"/>
      <c r="C73" s="1"/>
      <c r="D73" s="1"/>
      <c r="E73" s="1"/>
      <c r="F73" s="1"/>
    </row>
    <row r="74" ht="14.25" customHeight="1">
      <c r="A74" s="1"/>
      <c r="B74" s="1"/>
      <c r="C74" s="1"/>
      <c r="D74" s="1"/>
      <c r="E74" s="1"/>
      <c r="F74" s="1"/>
    </row>
    <row r="75" ht="14.25" customHeight="1">
      <c r="A75" s="1"/>
      <c r="B75" s="1"/>
      <c r="C75" s="1"/>
      <c r="D75" s="1"/>
      <c r="E75" s="1"/>
      <c r="F75" s="1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3" width="18.0"/>
    <col customWidth="1" min="4" max="4" width="34.0"/>
    <col customWidth="1" min="5" max="5" width="16.0"/>
    <col customWidth="1" min="6" max="26" width="8.71"/>
  </cols>
  <sheetData>
    <row r="1">
      <c r="A1" s="194" t="s">
        <v>521</v>
      </c>
    </row>
    <row r="2">
      <c r="A2" s="195" t="s">
        <v>522</v>
      </c>
    </row>
    <row r="4">
      <c r="A4" s="197" t="s">
        <v>523</v>
      </c>
      <c r="B4" s="197"/>
      <c r="C4" s="197"/>
      <c r="D4" s="197"/>
      <c r="E4" s="197"/>
    </row>
    <row r="6">
      <c r="A6" s="199" t="s">
        <v>219</v>
      </c>
      <c r="B6" s="199" t="s">
        <v>524</v>
      </c>
      <c r="C6" s="199" t="s">
        <v>41</v>
      </c>
      <c r="D6" s="199" t="s">
        <v>368</v>
      </c>
    </row>
    <row r="7">
      <c r="A7" s="200" t="s">
        <v>252</v>
      </c>
      <c r="B7" s="201">
        <v>1.0</v>
      </c>
      <c r="C7" s="202">
        <f>'H Flow to Equity'!C6</f>
        <v>145364.7724</v>
      </c>
      <c r="D7" s="202">
        <f>'H Flow to Equity'!C7</f>
        <v>106995.1794</v>
      </c>
    </row>
    <row r="8">
      <c r="A8" s="200" t="s">
        <v>254</v>
      </c>
      <c r="B8" s="201">
        <v>2.0</v>
      </c>
      <c r="C8" s="202">
        <f>'H Flow to Equity'!D6</f>
        <v>159222.9757</v>
      </c>
      <c r="D8" s="202">
        <f>'H Flow to Equity'!D7</f>
        <v>125846.4367</v>
      </c>
    </row>
    <row r="9">
      <c r="A9" s="200" t="s">
        <v>255</v>
      </c>
      <c r="B9" s="201">
        <v>3.0</v>
      </c>
      <c r="C9" s="202">
        <f>'H Flow to Equity'!E6</f>
        <v>172975.9025</v>
      </c>
      <c r="D9" s="202">
        <f>'H Flow to Equity'!E7</f>
        <v>143684.8497</v>
      </c>
    </row>
    <row r="10">
      <c r="A10" s="200" t="s">
        <v>256</v>
      </c>
      <c r="B10" s="201">
        <v>4.0</v>
      </c>
      <c r="C10" s="202">
        <f>'H Flow to Equity'!F6</f>
        <v>186642.3943</v>
      </c>
      <c r="D10" s="202">
        <f>'H Flow to Equity'!F7</f>
        <v>160760.8649</v>
      </c>
    </row>
    <row r="11">
      <c r="A11" s="200" t="s">
        <v>257</v>
      </c>
      <c r="B11" s="201">
        <v>5.0</v>
      </c>
      <c r="C11" s="202">
        <f>'H Flow to Equity'!G6</f>
        <v>200073.2577</v>
      </c>
      <c r="D11" s="202">
        <f>'H Flow to Equity'!G7</f>
        <v>177299.6441</v>
      </c>
    </row>
    <row r="12">
      <c r="A12" s="200" t="s">
        <v>258</v>
      </c>
      <c r="B12" s="201">
        <v>6.0</v>
      </c>
      <c r="C12" s="202">
        <f>'H Flow to Equity'!H6</f>
        <v>212774.8569</v>
      </c>
      <c r="D12" s="202">
        <f>'H Flow to Equity'!H7</f>
        <v>193214.8147</v>
      </c>
    </row>
    <row r="13">
      <c r="A13" s="200" t="s">
        <v>529</v>
      </c>
      <c r="D13" s="202">
        <f>'H Flow to Equity'!H8</f>
        <v>208105.2898</v>
      </c>
    </row>
    <row r="15">
      <c r="A15" s="200" t="s">
        <v>372</v>
      </c>
      <c r="B15" s="205">
        <f>'H Flow to Equity'!K8</f>
        <v>14650</v>
      </c>
    </row>
    <row r="16">
      <c r="A16" s="200" t="s">
        <v>533</v>
      </c>
      <c r="B16" s="206">
        <f>'H Flow to Equity'!K9</f>
        <v>332.89</v>
      </c>
    </row>
    <row r="17">
      <c r="A17" s="200" t="s">
        <v>534</v>
      </c>
      <c r="B17" s="207">
        <f>'H Flow to Equity'!K6</f>
        <v>0.08</v>
      </c>
    </row>
    <row r="18">
      <c r="A18" s="200" t="s">
        <v>535</v>
      </c>
      <c r="B18" s="207">
        <f>'H Flow to Equity'!K7</f>
        <v>0.03</v>
      </c>
    </row>
    <row r="20">
      <c r="A20" s="197" t="s">
        <v>537</v>
      </c>
      <c r="B20" s="197"/>
      <c r="C20" s="197"/>
      <c r="D20" s="197"/>
      <c r="E20" s="197"/>
    </row>
    <row r="21" ht="15.75" customHeight="1">
      <c r="A21" s="200" t="s">
        <v>539</v>
      </c>
      <c r="B21" s="208">
        <f>($D$7+SUMPRODUCT(($C$7:$C$12-$B$17*$D$7:$D$12)/(1+$B$17)^$B$7:$B$12)+($C$12*(1+$B$18)-$B$17*$D$13)/($B$17-$B$18)/(1+$B$17)^6)/$B$15</f>
        <v>233.4902697</v>
      </c>
      <c r="C21" s="206">
        <f>'K Valuation Summary'!B6</f>
        <v>233.4902697</v>
      </c>
      <c r="D21" s="195" t="s">
        <v>544</v>
      </c>
    </row>
    <row r="22" ht="15.75" customHeight="1">
      <c r="A22" s="200" t="s">
        <v>545</v>
      </c>
      <c r="B22" s="210">
        <f>B21/$B$16-1</f>
        <v>-0.298596324</v>
      </c>
    </row>
    <row r="23" ht="15.75" customHeight="1"/>
    <row r="24" ht="15.75" customHeight="1">
      <c r="A24" s="197" t="s">
        <v>546</v>
      </c>
      <c r="B24" s="197"/>
      <c r="C24" s="197"/>
      <c r="D24" s="197"/>
      <c r="E24" s="197"/>
    </row>
    <row r="25" ht="15.75" customHeight="1">
      <c r="A25" s="211" t="s">
        <v>547</v>
      </c>
      <c r="B25" s="212">
        <v>0.025</v>
      </c>
      <c r="C25" s="212">
        <v>0.03</v>
      </c>
      <c r="D25" s="212">
        <v>0.035</v>
      </c>
      <c r="E25" s="212">
        <v>0.04</v>
      </c>
    </row>
    <row r="26" ht="15.75" customHeight="1">
      <c r="A26" s="212">
        <v>0.075</v>
      </c>
      <c r="B26" s="213">
        <f t="shared" ref="B26:E26" si="1">($D$7+SUMPRODUCT(($C$7:$C$12-$A26*$D$7:$D$12)/(1+$A26)^$B$7:$B$12)+($C$12*(1+B$25)-$A26*$D$13)/($A26-B$25)/(1+$A26)^6)/$B$15</f>
        <v>239.4749631</v>
      </c>
      <c r="C26" s="213">
        <f t="shared" si="1"/>
        <v>260.4225318</v>
      </c>
      <c r="D26" s="213">
        <f t="shared" si="1"/>
        <v>286.6069927</v>
      </c>
      <c r="E26" s="213">
        <f t="shared" si="1"/>
        <v>320.2727282</v>
      </c>
    </row>
    <row r="27" ht="15.75" customHeight="1">
      <c r="A27" s="212">
        <v>0.08</v>
      </c>
      <c r="B27" s="213">
        <f t="shared" ref="B27:E27" si="2">($D$7+SUMPRODUCT(($C$7:$C$12-$A27*$D$7:$D$12)/(1+$A27)^$B$7:$B$12)+($C$12*(1+B$25)-$A27*$D$13)/($A27-B$25)/(1+$A27)^6)/$B$15</f>
        <v>216.8201286</v>
      </c>
      <c r="C27" s="213">
        <f t="shared" si="2"/>
        <v>233.4902697</v>
      </c>
      <c r="D27" s="213">
        <f t="shared" si="2"/>
        <v>253.8648866</v>
      </c>
      <c r="E27" s="213">
        <f t="shared" si="2"/>
        <v>279.3331577</v>
      </c>
    </row>
    <row r="28" ht="15.75" customHeight="1">
      <c r="A28" s="212">
        <v>0.085</v>
      </c>
      <c r="B28" s="213">
        <f t="shared" ref="B28:E28" si="3">($D$7+SUMPRODUCT(($C$7:$C$12-$A28*$D$7:$D$12)/(1+$A28)^$B$7:$B$12)+($C$12*(1+B$25)-$A28*$D$13)/($A28-B$25)/(1+$A28)^6)/$B$15</f>
        <v>197.9599493</v>
      </c>
      <c r="C28" s="213">
        <f t="shared" si="3"/>
        <v>211.4735071</v>
      </c>
      <c r="D28" s="213">
        <f t="shared" si="3"/>
        <v>227.6897764</v>
      </c>
      <c r="E28" s="213">
        <f t="shared" si="3"/>
        <v>247.5096611</v>
      </c>
    </row>
    <row r="29" ht="15.75" customHeight="1"/>
    <row r="30" ht="15.75" customHeight="1">
      <c r="A30" s="200" t="s">
        <v>563</v>
      </c>
      <c r="B30" s="213">
        <f>MIN(B26:D28)</f>
        <v>197.9599493</v>
      </c>
    </row>
    <row r="31" ht="15.75" customHeight="1">
      <c r="A31" s="200" t="s">
        <v>572</v>
      </c>
      <c r="B31" s="213">
        <f>MAX(B26:D28)</f>
        <v>286.6069927</v>
      </c>
    </row>
    <row r="32" ht="15.75" customHeight="1">
      <c r="A32" s="200" t="s">
        <v>578</v>
      </c>
      <c r="B32" s="213">
        <f>E27</f>
        <v>279.3331577</v>
      </c>
      <c r="C32" s="210">
        <f>B32/$B$16-1</f>
        <v>-0.1608845034</v>
      </c>
    </row>
    <row r="33" ht="15.75" customHeight="1">
      <c r="A33" s="200" t="s">
        <v>580</v>
      </c>
      <c r="B33" s="213">
        <f>E27-C27</f>
        <v>45.84288795</v>
      </c>
    </row>
    <row r="34" ht="15.75" customHeight="1"/>
    <row r="35" ht="15.75" customHeight="1">
      <c r="A35" s="197" t="s">
        <v>582</v>
      </c>
      <c r="B35" s="197"/>
      <c r="C35" s="197"/>
      <c r="D35" s="197"/>
      <c r="E35" s="197"/>
    </row>
    <row r="36" ht="15.75" customHeight="1">
      <c r="A36" s="199" t="s">
        <v>6</v>
      </c>
      <c r="B36" s="199" t="s">
        <v>584</v>
      </c>
      <c r="C36" s="199" t="s">
        <v>585</v>
      </c>
      <c r="D36" s="199" t="s">
        <v>586</v>
      </c>
      <c r="E36" s="199" t="s">
        <v>587</v>
      </c>
    </row>
    <row r="37" ht="15.75" customHeight="1">
      <c r="A37" s="200" t="s">
        <v>588</v>
      </c>
      <c r="B37" s="215">
        <v>0.0475759701615654</v>
      </c>
      <c r="C37" s="213">
        <f>($D$7+SUMPRODUCT(($C$7:$C$12-$B$17*$D$7:$D$12)/(1+$B$17)^$B$7:$B$12)+($C$12*(1+B37)-$B$17*$D$13)/($B$17-B37)/(1+$B$17)^6)/$B$15</f>
        <v>332.8897873</v>
      </c>
      <c r="D37" s="213">
        <f t="shared" ref="D37:D38" si="4">$B$16</f>
        <v>332.89</v>
      </c>
      <c r="E37" s="213">
        <f t="shared" ref="E37:E38" si="5">C37-D37</f>
        <v>-0.0002127234662</v>
      </c>
    </row>
    <row r="38" ht="15.75" customHeight="1">
      <c r="A38" s="200" t="s">
        <v>591</v>
      </c>
      <c r="B38" s="215">
        <v>0.0654676584090456</v>
      </c>
      <c r="C38" s="213">
        <f>($D$7+SUMPRODUCT(($C$7:$C$12-B38*$D$7:$D$12)/(1+B38)^$B$7:$B$12)+($C$12*(1+$B$18)-B38*$D$13)/(B38-$B$18)/(1+B38)^6)/$B$15</f>
        <v>332.8897991</v>
      </c>
      <c r="D38" s="213">
        <f t="shared" si="4"/>
        <v>332.89</v>
      </c>
      <c r="E38" s="213">
        <f t="shared" si="5"/>
        <v>-0.0002009068457</v>
      </c>
    </row>
    <row r="39" ht="15.75" customHeight="1">
      <c r="A39" s="200" t="s">
        <v>594</v>
      </c>
      <c r="B39" s="218">
        <f>(B37-B18)*100</f>
        <v>1.757597016</v>
      </c>
    </row>
    <row r="40" ht="15.75" customHeight="1">
      <c r="A40" s="200" t="s">
        <v>596</v>
      </c>
      <c r="B40" s="218">
        <f>(B17-B38)*100</f>
        <v>1.453234159</v>
      </c>
    </row>
    <row r="41" ht="15.75" customHeight="1"/>
    <row r="42" ht="15.75" customHeight="1">
      <c r="A42" s="197" t="s">
        <v>598</v>
      </c>
      <c r="B42" s="197"/>
      <c r="C42" s="197"/>
      <c r="D42" s="197"/>
      <c r="E42" s="197"/>
    </row>
    <row r="43" ht="15.75" customHeight="1">
      <c r="A43" s="200" t="s">
        <v>599</v>
      </c>
      <c r="B43" s="219">
        <v>0.0531</v>
      </c>
      <c r="C43" s="195" t="s">
        <v>600</v>
      </c>
    </row>
    <row r="44" ht="15.75" customHeight="1">
      <c r="A44" s="200" t="s">
        <v>601</v>
      </c>
      <c r="B44" s="220">
        <v>1.07</v>
      </c>
      <c r="C44" s="195" t="s">
        <v>604</v>
      </c>
    </row>
    <row r="45" ht="15.75" customHeight="1">
      <c r="A45" s="200" t="s">
        <v>605</v>
      </c>
      <c r="B45" s="215">
        <v>0.042</v>
      </c>
      <c r="C45" s="195" t="s">
        <v>606</v>
      </c>
    </row>
    <row r="46" ht="15.75" customHeight="1">
      <c r="A46" s="200" t="s">
        <v>607</v>
      </c>
      <c r="B46" s="221">
        <f>B43+B44*B45</f>
        <v>0.09804</v>
      </c>
    </row>
    <row r="47" ht="15.75" customHeight="1">
      <c r="A47" s="200" t="s">
        <v>614</v>
      </c>
      <c r="B47" s="213">
        <f>($D$7+SUMPRODUCT(($C$7:$C$12-$B$46*$D$7:$D$12)/(1+$B$46)^$B$7:$B$12)+($C$12*(1+$B$18)-$B$46*$D$13)/($B$46-$B$18)/(1+$B$46)^6)/$B$15</f>
        <v>169.3459463</v>
      </c>
      <c r="C47" s="210">
        <f>B47/$B$16-1</f>
        <v>-0.491285571</v>
      </c>
    </row>
    <row r="48" ht="15.75" customHeight="1"/>
    <row r="49" ht="15.75" customHeight="1">
      <c r="A49" s="199" t="s">
        <v>621</v>
      </c>
      <c r="B49" s="199" t="s">
        <v>622</v>
      </c>
      <c r="C49" s="199" t="s">
        <v>607</v>
      </c>
    </row>
    <row r="50" ht="15.75" customHeight="1">
      <c r="A50" s="200" t="s">
        <v>623</v>
      </c>
      <c r="B50" s="219">
        <v>0.042</v>
      </c>
      <c r="C50" s="210">
        <f t="shared" ref="C50:C53" si="6">$B$43+$B$44*B50</f>
        <v>0.09804</v>
      </c>
    </row>
    <row r="51" ht="15.75" customHeight="1">
      <c r="A51" s="200" t="s">
        <v>625</v>
      </c>
      <c r="B51" s="219">
        <v>0.037</v>
      </c>
      <c r="C51" s="210">
        <f t="shared" si="6"/>
        <v>0.09269</v>
      </c>
    </row>
    <row r="52" ht="15.75" customHeight="1">
      <c r="A52" s="200" t="s">
        <v>626</v>
      </c>
      <c r="B52" s="219">
        <v>0.0392</v>
      </c>
      <c r="C52" s="210">
        <f t="shared" si="6"/>
        <v>0.095044</v>
      </c>
    </row>
    <row r="53" ht="15.75" customHeight="1">
      <c r="A53" s="200" t="s">
        <v>627</v>
      </c>
      <c r="B53" s="219">
        <v>0.0567</v>
      </c>
      <c r="C53" s="210">
        <f t="shared" si="6"/>
        <v>0.113769</v>
      </c>
    </row>
    <row r="54" ht="15.75" customHeight="1">
      <c r="A54" s="200" t="s">
        <v>628</v>
      </c>
      <c r="B54" s="210">
        <f>($B$17-$B$43)/$B$44</f>
        <v>0.02514018692</v>
      </c>
    </row>
    <row r="55" ht="15.75" customHeight="1">
      <c r="A55" s="200" t="s">
        <v>630</v>
      </c>
      <c r="B55" s="210">
        <f>($B$38-$B$43)/$B$44</f>
        <v>0.01155855926</v>
      </c>
    </row>
    <row r="56" ht="15.75" customHeight="1"/>
    <row r="57" ht="15.75" customHeight="1">
      <c r="A57" s="197" t="s">
        <v>631</v>
      </c>
      <c r="B57" s="197"/>
      <c r="C57" s="197"/>
      <c r="D57" s="197"/>
      <c r="E57" s="197"/>
    </row>
    <row r="58" ht="15.75" customHeight="1">
      <c r="A58" s="200" t="s">
        <v>632</v>
      </c>
      <c r="B58" s="219">
        <v>0.0295</v>
      </c>
      <c r="C58" s="195" t="s">
        <v>633</v>
      </c>
    </row>
    <row r="59" ht="15.75" customHeight="1">
      <c r="A59" s="200" t="s">
        <v>634</v>
      </c>
      <c r="B59" s="210">
        <f>B43-B58</f>
        <v>0.0236</v>
      </c>
    </row>
    <row r="60" ht="15.75" customHeight="1">
      <c r="A60" s="200" t="s">
        <v>635</v>
      </c>
      <c r="B60" s="219">
        <v>0.02</v>
      </c>
      <c r="C60" s="195" t="s">
        <v>636</v>
      </c>
    </row>
    <row r="61" ht="15.75" customHeight="1">
      <c r="A61" s="200" t="s">
        <v>637</v>
      </c>
      <c r="B61" s="221">
        <f>(1+B60)*(1+B59)-1</f>
        <v>0.044072</v>
      </c>
    </row>
    <row r="62" ht="15.75" customHeight="1">
      <c r="A62" s="200" t="s">
        <v>638</v>
      </c>
      <c r="B62" s="210">
        <f>B18-B61</f>
        <v>-0.014072</v>
      </c>
    </row>
    <row r="63" ht="15.75" customHeight="1">
      <c r="A63" s="200" t="s">
        <v>642</v>
      </c>
      <c r="B63" s="210">
        <f>B37-B61</f>
        <v>0.003503970162</v>
      </c>
    </row>
    <row r="64" ht="15.75" customHeight="1"/>
    <row r="65" ht="15.75" customHeight="1">
      <c r="A65" s="197" t="s">
        <v>643</v>
      </c>
      <c r="B65" s="197"/>
      <c r="C65" s="197"/>
      <c r="D65" s="197"/>
      <c r="E65" s="197"/>
    </row>
    <row r="66" ht="15.75" customHeight="1">
      <c r="A66" s="200" t="s">
        <v>555</v>
      </c>
      <c r="B66" s="227">
        <f>'J Relative Valuation'!C11</f>
        <v>22.97</v>
      </c>
    </row>
    <row r="67" ht="15.75" customHeight="1">
      <c r="A67" s="200" t="s">
        <v>644</v>
      </c>
      <c r="B67" s="227">
        <f>'J Relative Valuation'!D11</f>
        <v>21.91</v>
      </c>
    </row>
    <row r="68" ht="15.75" customHeight="1">
      <c r="A68" s="200" t="s">
        <v>646</v>
      </c>
      <c r="B68" s="207">
        <f>'J Relative Valuation'!D19</f>
        <v>0.5741838011</v>
      </c>
    </row>
    <row r="69" ht="15.75" customHeight="1">
      <c r="A69" s="200" t="s">
        <v>647</v>
      </c>
      <c r="B69" s="207">
        <f>'J Relative Valuation'!G19</f>
        <v>0.419007679</v>
      </c>
    </row>
    <row r="70" ht="15.75" customHeight="1">
      <c r="A70" s="200" t="s">
        <v>650</v>
      </c>
      <c r="B70" s="202">
        <f>'J Relative Valuation'!B22</f>
        <v>145364.7724</v>
      </c>
    </row>
    <row r="71" ht="15.75" customHeight="1">
      <c r="A71" s="200" t="s">
        <v>532</v>
      </c>
      <c r="B71" s="202">
        <f>'J Relative Valuation'!B23</f>
        <v>14430.72295</v>
      </c>
    </row>
    <row r="72" ht="15.75" customHeight="1">
      <c r="A72" s="200" t="s">
        <v>651</v>
      </c>
      <c r="B72" s="202">
        <f>'J Relative Valuation'!B29</f>
        <v>156934.9095</v>
      </c>
    </row>
    <row r="73" ht="15.75" customHeight="1">
      <c r="A73" s="200" t="s">
        <v>654</v>
      </c>
      <c r="B73" s="202">
        <f>'G Annual BS Forecast'!B7+'G Annual BS Forecast'!B8+'G Annual BS Forecast'!B16-'G Annual BS Forecast'!B27-'G Annual BS Forecast'!B28-'G Annual BS Forecast'!B31</f>
        <v>51857.98136</v>
      </c>
      <c r="C73" s="195" t="s">
        <v>656</v>
      </c>
    </row>
    <row r="74" ht="15.75" customHeight="1"/>
    <row r="75" ht="15.75" customHeight="1">
      <c r="A75" s="199" t="s">
        <v>657</v>
      </c>
      <c r="B75" s="199" t="s">
        <v>658</v>
      </c>
      <c r="C75" s="199" t="s">
        <v>659</v>
      </c>
      <c r="D75" s="199" t="s">
        <v>660</v>
      </c>
      <c r="E75" s="199" t="s">
        <v>659</v>
      </c>
    </row>
    <row r="76" ht="15.75" customHeight="1">
      <c r="A76" s="200" t="s">
        <v>661</v>
      </c>
      <c r="B76" s="213">
        <f>$B$66*(1+$B$68)*$B$70/$B$71</f>
        <v>364.2399</v>
      </c>
      <c r="C76" s="210">
        <f t="shared" ref="C76:C77" si="7">B76/$B$16-1</f>
        <v>0.09417495259</v>
      </c>
      <c r="D76" s="213">
        <f>$B$66*$B$70/$B$71</f>
        <v>231.3833364</v>
      </c>
      <c r="E76" s="210">
        <f t="shared" ref="E76:E77" si="8">D76/$B$16-1</f>
        <v>-0.3049255418</v>
      </c>
    </row>
    <row r="77" ht="15.75" customHeight="1">
      <c r="A77" s="200" t="s">
        <v>665</v>
      </c>
      <c r="B77" s="213">
        <f>($B$67*(1+$B$69)*$B$72+$B$73)/$B$15</f>
        <v>336.5895039</v>
      </c>
      <c r="C77" s="210">
        <f t="shared" si="7"/>
        <v>0.01111329251</v>
      </c>
      <c r="D77" s="213">
        <f>($B$67*$B$72+$B$73)/$B$15</f>
        <v>238.24586</v>
      </c>
      <c r="E77" s="210">
        <f t="shared" si="8"/>
        <v>-0.2843105531</v>
      </c>
    </row>
    <row r="78" ht="15.75" customHeight="1">
      <c r="A78" s="200" t="s">
        <v>666</v>
      </c>
      <c r="B78" s="213">
        <f>B21</f>
        <v>233.4902697</v>
      </c>
      <c r="C78" s="210">
        <f>B22</f>
        <v>-0.298596324</v>
      </c>
      <c r="D78" s="213">
        <f>B21</f>
        <v>233.4902697</v>
      </c>
      <c r="E78" s="210">
        <f>B22</f>
        <v>-0.298596324</v>
      </c>
    </row>
    <row r="79" ht="15.75" customHeight="1">
      <c r="A79" s="200" t="s">
        <v>667</v>
      </c>
      <c r="B79" s="218">
        <f>B76-'J Relative Valuation'!B26</f>
        <v>0</v>
      </c>
      <c r="C79" s="218">
        <f>B77-'J Relative Valuation'!B31</f>
        <v>0</v>
      </c>
    </row>
    <row r="80" ht="15.75" customHeight="1"/>
    <row r="81" ht="15.75" customHeight="1">
      <c r="A81" s="197" t="s">
        <v>668</v>
      </c>
      <c r="B81" s="197"/>
      <c r="C81" s="197"/>
      <c r="D81" s="197"/>
      <c r="E81" s="197"/>
    </row>
    <row r="82" ht="15.75" customHeight="1">
      <c r="A82" s="200" t="s">
        <v>669</v>
      </c>
      <c r="B82" s="227">
        <f>'K Valuation Summary'!B22</f>
        <v>36.17</v>
      </c>
    </row>
    <row r="83" ht="15.75" customHeight="1">
      <c r="A83" s="200" t="s">
        <v>670</v>
      </c>
      <c r="B83" s="227">
        <f>AVERAGE('J Relative Valuation'!B14:B18)</f>
        <v>29.704</v>
      </c>
    </row>
    <row r="84" ht="15.75" customHeight="1"/>
    <row r="85" ht="15.75" customHeight="1">
      <c r="A85" s="197" t="s">
        <v>671</v>
      </c>
      <c r="B85" s="197"/>
      <c r="C85" s="197"/>
      <c r="D85" s="197"/>
      <c r="E85" s="197"/>
    </row>
    <row r="86" ht="15.75" customHeight="1">
      <c r="A86" s="199" t="s">
        <v>280</v>
      </c>
      <c r="B86" s="199" t="s">
        <v>672</v>
      </c>
      <c r="C86" s="199" t="s">
        <v>673</v>
      </c>
      <c r="D86" s="199" t="s">
        <v>16</v>
      </c>
      <c r="E86" s="199" t="s">
        <v>587</v>
      </c>
    </row>
    <row r="87" ht="15.75" customHeight="1">
      <c r="A87" s="200" t="s">
        <v>674</v>
      </c>
      <c r="B87" s="202">
        <f>'C2 Annual IS Forecast'!G9/1000</f>
        <v>477.52102</v>
      </c>
      <c r="C87" s="228">
        <v>477.9</v>
      </c>
      <c r="D87" s="195" t="s">
        <v>675</v>
      </c>
      <c r="E87" s="210">
        <f t="shared" ref="E87:E90" si="9">B87/C87-1</f>
        <v>-0.0007930110902</v>
      </c>
    </row>
    <row r="88" ht="15.75" customHeight="1">
      <c r="A88" s="200" t="s">
        <v>676</v>
      </c>
      <c r="B88" s="206">
        <f>'C2 Annual IS Forecast'!G33</f>
        <v>8.866836144</v>
      </c>
      <c r="C88" s="229">
        <v>8.859</v>
      </c>
      <c r="D88" s="195" t="s">
        <v>675</v>
      </c>
      <c r="E88" s="210">
        <f t="shared" si="9"/>
        <v>0.00088454052</v>
      </c>
    </row>
    <row r="89" ht="15.75" customHeight="1">
      <c r="A89" s="200" t="s">
        <v>677</v>
      </c>
      <c r="B89" s="202">
        <f>'C2 Annual IS Forecast'!H9/1000</f>
        <v>517.4377424</v>
      </c>
      <c r="C89" s="228">
        <v>527.1</v>
      </c>
      <c r="D89" s="195" t="s">
        <v>675</v>
      </c>
      <c r="E89" s="210">
        <f t="shared" si="9"/>
        <v>-0.01833097629</v>
      </c>
    </row>
    <row r="90" ht="15.75" customHeight="1">
      <c r="A90" s="200" t="s">
        <v>678</v>
      </c>
      <c r="B90" s="206">
        <f>'C2 Annual IS Forecast'!H33</f>
        <v>10.07328413</v>
      </c>
      <c r="C90" s="229">
        <v>9.625</v>
      </c>
      <c r="D90" s="195" t="s">
        <v>675</v>
      </c>
      <c r="E90" s="210">
        <f t="shared" si="9"/>
        <v>0.04657497415</v>
      </c>
    </row>
    <row r="91" ht="15.75" customHeight="1">
      <c r="A91" s="200" t="s">
        <v>679</v>
      </c>
      <c r="B91" s="207">
        <f>('C2 Annual IS Forecast'!K9/'C2 Annual IS Forecast'!B9)^(1/5)-1</f>
        <v>0.08478143706</v>
      </c>
      <c r="C91" s="219">
        <v>0.09</v>
      </c>
      <c r="D91" s="195" t="s">
        <v>680</v>
      </c>
      <c r="E91" s="210">
        <f>B91-C91</f>
        <v>-0.005218562941</v>
      </c>
    </row>
    <row r="92" ht="15.75" customHeight="1">
      <c r="A92" s="200" t="s">
        <v>681</v>
      </c>
      <c r="B92" s="228">
        <v>209586.0</v>
      </c>
      <c r="C92" s="195" t="s">
        <v>682</v>
      </c>
    </row>
    <row r="93" ht="15.75" customHeight="1">
      <c r="A93" s="200" t="s">
        <v>683</v>
      </c>
      <c r="B93" s="207">
        <f>('C1 Revenue Build'!F18/B92)^(1/5)-1</f>
        <v>0.0894057047</v>
      </c>
      <c r="C93" s="219">
        <v>0.1</v>
      </c>
      <c r="D93" s="195" t="s">
        <v>680</v>
      </c>
      <c r="E93" s="210">
        <f>B93-C93</f>
        <v>-0.0105942953</v>
      </c>
    </row>
    <row r="94" ht="15.75" customHeight="1">
      <c r="A94" s="200" t="s">
        <v>684</v>
      </c>
      <c r="C94" s="229">
        <v>290.0</v>
      </c>
      <c r="D94" s="195" t="s">
        <v>685</v>
      </c>
      <c r="E94" s="210">
        <f t="shared" ref="E94:E95" si="10">C94/$B$16-1</f>
        <v>-0.128841359</v>
      </c>
    </row>
    <row r="95" ht="15.75" customHeight="1">
      <c r="A95" s="200" t="s">
        <v>686</v>
      </c>
      <c r="C95" s="229">
        <v>324.89</v>
      </c>
      <c r="D95" s="195" t="s">
        <v>687</v>
      </c>
      <c r="E95" s="210">
        <f t="shared" si="10"/>
        <v>-0.02403196251</v>
      </c>
    </row>
    <row r="96" ht="15.75" customHeight="1"/>
    <row r="97" ht="15.75" customHeight="1">
      <c r="A97" s="197" t="inlineStr">
        <is>
          <t>10. Value of one percentage point of product gross margin (approximation)</t>
        </is>
      </c>
      <c r="B97" s="197"/>
      <c r="C97" s="197"/>
      <c r="D97" s="197"/>
      <c r="E97" s="197"/>
    </row>
    <row r="98" ht="15.75" customHeight="1">
      <c r="A98" s="200" t="inlineStr">
        <is>
          <t>Tax rate (management guidance)</t>
        </is>
      </c>
      <c r="B98" s="207">
        <f>'D IS Assumptions'!I12</f>
        <v>0.165</v>
      </c>
    </row>
    <row r="99" ht="15.75" customHeight="1">
      <c r="A99" s="199" t="inlineStr">
        <is>
          <t>Fiscal year</t>
        </is>
      </c>
      <c r="B99" s="199" t="inlineStr">
        <is>
          <t>t</t>
        </is>
      </c>
      <c r="C99" s="199" t="inlineStr">
        <is>
          <t>Products revenue</t>
        </is>
      </c>
      <c r="D99" s="199" t="inlineStr">
        <is>
          <t>After-tax effect of 1 pp</t>
        </is>
      </c>
      <c r="E99" s="199" t="inlineStr">
        <is>
          <t>Present value</t>
        </is>
      </c>
    </row>
    <row r="100" ht="15.75" customHeight="1">
      <c r="A100" s="200" t="inlineStr">
        <is>
          <t>FY2027</t>
        </is>
      </c>
      <c r="B100" s="201">
        <v>1</v>
      </c>
      <c r="C100" s="202">
        <f>'C1 Revenue Build'!C23</f>
        <v>378638.3824</v>
      </c>
      <c r="D100" s="202">
        <f>0.01*C100*(1-$B$98)</f>
        <v>3161.63049304</v>
      </c>
      <c r="E100" s="202">
        <f>D100/(1+$B$17)^B100</f>
        <v>2927.4356417037</v>
      </c>
    </row>
    <row r="101" ht="15.75" customHeight="1">
      <c r="A101" s="200" t="inlineStr">
        <is>
          <t>FY2028</t>
        </is>
      </c>
      <c r="B101" s="201">
        <v>2</v>
      </c>
      <c r="C101" s="202">
        <f>'C1 Revenue Build'!D23</f>
        <v>400881.348744</v>
      </c>
      <c r="D101" s="202">
        <f>0.01*C101*(1-$B$98)</f>
        <v>3347.3592620124</v>
      </c>
      <c r="E101" s="202">
        <f>D101/(1+$B$17)^B101</f>
        <v>2869.82104081996</v>
      </c>
    </row>
    <row r="102" ht="15.75" customHeight="1">
      <c r="A102" s="200" t="inlineStr">
        <is>
          <t>FY2029</t>
        </is>
      </c>
      <c r="B102" s="201">
        <v>3</v>
      </c>
      <c r="C102" s="202">
        <f>'C1 Revenue Build'!E23</f>
        <v>421171.31749302</v>
      </c>
      <c r="D102" s="202">
        <f>0.01*C102*(1-$B$98)</f>
        <v>3516.78050106672</v>
      </c>
      <c r="E102" s="202">
        <f>D102/(1+$B$17)^B102</f>
        <v>2791.73374633783</v>
      </c>
    </row>
    <row r="103" ht="15.75" customHeight="1">
      <c r="A103" s="200" t="inlineStr">
        <is>
          <t>FY2030</t>
        </is>
      </c>
      <c r="B103" s="201">
        <v>4</v>
      </c>
      <c r="C103" s="202">
        <f>'C1 Revenue Build'!F23</f>
        <v>440406.575156247</v>
      </c>
      <c r="D103" s="202">
        <f>0.01*C103*(1-$B$98)</f>
        <v>3677.39490255466</v>
      </c>
      <c r="E103" s="202">
        <f>D103/(1+$B$17)^B103</f>
        <v>2702.99503389918</v>
      </c>
    </row>
    <row r="104" ht="15.75" customHeight="1">
      <c r="A104" s="200" t="inlineStr">
        <is>
          <t>FY2031</t>
        </is>
      </c>
      <c r="B104" s="201">
        <v>5</v>
      </c>
      <c r="C104" s="202">
        <f>'C1 Revenue Build'!G23</f>
        <v>458717.406190878</v>
      </c>
      <c r="D104" s="202">
        <f>0.01*C104*(1-$B$98)</f>
        <v>3830.29034169383</v>
      </c>
      <c r="E104" s="202">
        <f>D104/(1+$B$17)^B104</f>
        <v>2606.83124631749</v>
      </c>
    </row>
    <row r="105" ht="15.75" customHeight="1">
      <c r="A105" s="200" t="inlineStr">
        <is>
          <t>FY2032</t>
        </is>
      </c>
      <c r="B105" s="201">
        <v>6</v>
      </c>
      <c r="C105" s="202">
        <f>'C1 Revenue Build'!H23</f>
        <v>475512.263482108</v>
      </c>
      <c r="D105" s="202">
        <f>0.01*C105*(1-$B$98)</f>
        <v>3970.5274000756</v>
      </c>
      <c r="E105" s="202">
        <f>D105/(1+$B$17)^B105</f>
        <v>2502.10577023479</v>
      </c>
    </row>
    <row r="106" ht="15.75" customHeight="1">
      <c r="A106" s="200" t="inlineStr">
        <is>
          <t>Terminal value effect</t>
        </is>
      </c>
      <c r="E106" s="202">
        <f>D105*(1+$B$18)/($B$17-$B$18)/(1+$B$17)^6</f>
        <v>51543.3788668366</v>
      </c>
    </row>
    <row r="107" ht="15.75" customHeight="1">
      <c r="A107" s="200" t="inlineStr">
        <is>
          <t>Value per share of 1 pp of product gross margin</t>
        </is>
      </c>
      <c r="B107" s="213">
        <f>SUM(E100:E106)/$B$15</f>
        <v>4.63783626936174</v>
      </c>
    </row>
    <row r="108" ht="15.75" customHeight="1">
      <c r="A108" s="200" t="inlineStr">
        <is>
          <t>Gap between market price and FTE / RI value per share</t>
        </is>
      </c>
      <c r="B108" s="213">
        <f>B16-B21</f>
        <v>99.39973029999999</v>
      </c>
    </row>
    <row r="109" ht="15.75" customHeight="1">
      <c r="A109" s="200" t="inlineStr">
        <is>
          <t>Points of product gross margin needed to close the gap</t>
        </is>
      </c>
      <c r="B109" s="202">
        <f>B108/B107</f>
        <v>21.432350028535915</v>
      </c>
    </row>
    <row r="110" ht="15.75" customHeight="1">
      <c r="A110" s="195" t="inlineStr">
        <is>
          <t>Approximation: assumes the extra after-tax profit is distributed, so book equity is unchanged.</t>
        </is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66" customWidth="1"/>
    <col min="2" max="8" width="13" customWidth="1"/>
  </cols>
  <sheetData>
    <row r="1">
      <c r="A1" s="232" t="inlineStr">
        <is>
          <t xml:space="preserve">M. Q3 ROE, Q4 advanced DuPont analysis, and forecast turnover and leverage ratios (Q6b)</t>
        </is>
      </c>
    </row>
    <row r="2">
      <c r="A2" s="233" t="inlineStr">
        <is>
          <t xml:space="preserve">Black = formula; green = link to another worksheet in this file. FY2025 figures come from the Form 10-K via C2 Annual IS Forecast (column B) and B Balance Sheet (column B). USD millions unless stated.</t>
        </is>
      </c>
    </row>
    <row r="4">
      <c r="A4" s="235" t="inlineStr">
        <is>
          <t xml:space="preserve">1. Q3 Return on common shareholders' equity, FY2025 (ending equity)</t>
        </is>
      </c>
      <c r="B4" s="235"/>
      <c r="C4" s="235"/>
      <c r="D4" s="235"/>
      <c r="E4" s="235"/>
      <c r="F4" s="235"/>
      <c r="G4" s="235"/>
      <c r="H4" s="235"/>
    </row>
    <row r="5">
      <c r="A5" s="230" t="inlineStr">
        <is>
          <t xml:space="preserve">Net income, FY2025</t>
        </is>
      </c>
      <c r="B5" s="251">
        <f>'C2 Annual IS Forecast'!B30</f>
        <v>112010</v>
      </c>
    </row>
    <row r="6">
      <c r="A6" s="230" t="inlineStr">
        <is>
          <t xml:space="preserve">Total shareholders' equity, 27 Sep 2025 (no preferred stock, so equals common equity)</t>
        </is>
      </c>
      <c r="B6" s="251">
        <f>'B Balance Sheet'!B39</f>
        <v>73733</v>
      </c>
    </row>
    <row r="7">
      <c r="A7" s="230" t="inlineStr">
        <is>
          <t xml:space="preserve">ROE = net income / ending common equity</t>
        </is>
      </c>
      <c r="B7" s="245">
        <f>B5/B6</f>
        <v>1.51912983331751</v>
      </c>
    </row>
    <row r="9">
      <c r="A9" s="235" t="inlineStr">
        <is>
          <t xml:space="preserve">2. Q4 Separation of operating and financial items, 27 Sep 2025</t>
        </is>
      </c>
      <c r="B9" s="235"/>
      <c r="C9" s="235"/>
      <c r="D9" s="235"/>
      <c r="E9" s="235"/>
      <c r="F9" s="235"/>
      <c r="G9" s="235"/>
      <c r="H9" s="235"/>
    </row>
    <row r="10">
      <c r="A10" s="230" t="inlineStr">
        <is>
          <t xml:space="preserve">Total assets</t>
        </is>
      </c>
      <c r="B10" s="251">
        <f>'B Balance Sheet'!B21</f>
        <v>359241</v>
      </c>
    </row>
    <row r="11">
      <c r="A11" s="230" t="inlineStr">
        <is>
          <t xml:space="preserve">Cash and cash equivalents</t>
        </is>
      </c>
      <c r="B11" s="251">
        <f>'B Balance Sheet'!B7</f>
        <v>35934</v>
      </c>
    </row>
    <row r="12">
      <c r="A12" s="230" t="inlineStr">
        <is>
          <t xml:space="preserve">Current marketable securities</t>
        </is>
      </c>
      <c r="B12" s="251">
        <f>'B Balance Sheet'!B8</f>
        <v>18763</v>
      </c>
    </row>
    <row r="13">
      <c r="A13" s="230" t="inlineStr">
        <is>
          <t xml:space="preserve">Non-current marketable securities</t>
        </is>
      </c>
      <c r="B13" s="251">
        <f>'B Balance Sheet'!B16</f>
        <v>77723</v>
      </c>
    </row>
    <row r="14">
      <c r="A14" s="230" t="inlineStr">
        <is>
          <t xml:space="preserve">Financial assets</t>
        </is>
      </c>
      <c r="B14" s="256">
        <f>SUM(B11:B13)</f>
        <v>132420</v>
      </c>
    </row>
    <row r="15">
      <c r="A15" s="230" t="inlineStr">
        <is>
          <t xml:space="preserve">Operating assets</t>
        </is>
      </c>
      <c r="B15" s="256">
        <f>B10-B14</f>
        <v>226821</v>
      </c>
    </row>
    <row r="16">
      <c r="A16" s="230" t="inlineStr">
        <is>
          <t xml:space="preserve">Total liabilities</t>
        </is>
      </c>
      <c r="B16" s="251">
        <f>'B Balance Sheet'!B34</f>
        <v>285508</v>
      </c>
    </row>
    <row r="17">
      <c r="A17" s="230" t="inlineStr">
        <is>
          <t xml:space="preserve">Commercial paper</t>
        </is>
      </c>
      <c r="B17" s="251">
        <f>'B Balance Sheet'!B27</f>
        <v>7979</v>
      </c>
    </row>
    <row r="18">
      <c r="A18" s="230" t="inlineStr">
        <is>
          <t xml:space="preserve">Term debt, current</t>
        </is>
      </c>
      <c r="B18" s="251">
        <f>'B Balance Sheet'!B28</f>
        <v>12350</v>
      </c>
    </row>
    <row r="19">
      <c r="A19" s="230" t="inlineStr">
        <is>
          <t xml:space="preserve">Term debt, non-current</t>
        </is>
      </c>
      <c r="B19" s="251">
        <f>'B Balance Sheet'!B31</f>
        <v>78328</v>
      </c>
    </row>
    <row r="20">
      <c r="A20" s="230" t="inlineStr">
        <is>
          <t xml:space="preserve">Financial obligations</t>
        </is>
      </c>
      <c r="B20" s="256">
        <f>SUM(B17:B19)</f>
        <v>98657</v>
      </c>
    </row>
    <row r="21">
      <c r="A21" s="230" t="inlineStr">
        <is>
          <t xml:space="preserve">Operating liabilities</t>
        </is>
      </c>
      <c r="B21" s="256">
        <f>B16-B20</f>
        <v>186851</v>
      </c>
    </row>
    <row r="22">
      <c r="A22" s="230" t="inlineStr">
        <is>
          <t xml:space="preserve">Net operating assets (NOA)</t>
        </is>
      </c>
      <c r="B22" s="256">
        <f>B15-B21</f>
        <v>39970</v>
      </c>
    </row>
    <row r="23">
      <c r="A23" s="230" t="inlineStr">
        <is>
          <t xml:space="preserve">Net financial obligations (NFO)</t>
        </is>
      </c>
      <c r="B23" s="256">
        <f>B20-B14</f>
        <v>-33763</v>
      </c>
    </row>
    <row r="24">
      <c r="A24" s="230" t="inlineStr">
        <is>
          <t xml:space="preserve">Check: NOA - NFO - common equity (should be zero)</t>
        </is>
      </c>
      <c r="B24" s="256">
        <f>B22-B23-B6</f>
        <v>0</v>
      </c>
    </row>
    <row r="26">
      <c r="A26" s="235" t="inlineStr">
        <is>
          <t xml:space="preserve">3. Q4 Advanced DuPont: ROE = RNOA + FLEV x Spread</t>
        </is>
      </c>
      <c r="B26" s="235"/>
      <c r="C26" s="235"/>
      <c r="D26" s="235"/>
      <c r="E26" s="235"/>
      <c r="F26" s="235"/>
      <c r="G26" s="235"/>
      <c r="H26" s="235"/>
    </row>
    <row r="27">
      <c r="A27" s="230" t="inlineStr">
        <is>
          <t xml:space="preserve">Operating income, FY2025</t>
        </is>
      </c>
      <c r="B27" s="251">
        <f>'C2 Annual IS Forecast'!B22</f>
        <v>133050</v>
      </c>
    </row>
    <row r="28">
      <c r="A28" s="230" t="inlineStr">
        <is>
          <t xml:space="preserve">Effective tax rate, FY2025 (as reported in the Form 10-K)</t>
        </is>
      </c>
      <c r="B28" s="237">
        <v>0.156</v>
      </c>
      <c r="C28" s="234" t="inlineStr">
        <is>
          <t xml:space="preserve">Unrounded rate in C2 Annual IS Forecast B28 is 15.61%</t>
        </is>
      </c>
    </row>
    <row r="29">
      <c r="A29" s="230" t="inlineStr">
        <is>
          <t xml:space="preserve">NOPAT = operating income x (1 - tax rate)</t>
        </is>
      </c>
      <c r="B29" s="256">
        <f>B27*(1-B28)</f>
        <v>112294.2</v>
      </c>
    </row>
    <row r="30">
      <c r="A30" s="230" t="inlineStr">
        <is>
          <t xml:space="preserve">RNOA = NOPAT / NOA</t>
        </is>
      </c>
      <c r="B30" s="245">
        <f>B29/B22</f>
        <v>2.80946209657243</v>
      </c>
    </row>
    <row r="31">
      <c r="A31" s="230" t="inlineStr">
        <is>
          <t xml:space="preserve">FLEV = NFO / common equity</t>
        </is>
      </c>
      <c r="B31" s="245">
        <f>B23/B6</f>
        <v>-0.45790894172216</v>
      </c>
    </row>
    <row r="32">
      <c r="A32" s="230" t="inlineStr">
        <is>
          <t xml:space="preserve">Implied net financial expense after tax = NOPAT - net income</t>
        </is>
      </c>
      <c r="B32" s="256">
        <f>B29-B5</f>
        <v>284.199999999997</v>
      </c>
    </row>
    <row r="33">
      <c r="A33" s="230" t="inlineStr">
        <is>
          <t xml:space="preserve">Net borrowing cost (NBC) = net financial expense / NFO</t>
        </is>
      </c>
      <c r="B33" s="244">
        <f>B32/B23</f>
        <v>-0.00841749844504331</v>
      </c>
    </row>
    <row r="34">
      <c r="A34" s="230" t="inlineStr">
        <is>
          <t xml:space="preserve">Spread = RNOA - NBC</t>
        </is>
      </c>
      <c r="B34" s="245">
        <f>B30-B33</f>
        <v>2.81787959501747</v>
      </c>
    </row>
    <row r="35">
      <c r="A35" s="230" t="inlineStr">
        <is>
          <t xml:space="preserve">ROE = RNOA + FLEV x Spread</t>
        </is>
      </c>
      <c r="B35" s="245">
        <f>B30+B31*B34</f>
        <v>1.51912983331751</v>
      </c>
    </row>
    <row r="36">
      <c r="A36" s="230" t="inlineStr">
        <is>
          <t xml:space="preserve">Check: difference from ROE in section 1</t>
        </is>
      </c>
      <c r="B36" s="244">
        <f>B35-B7</f>
        <v>0</v>
      </c>
    </row>
    <row r="38">
      <c r="A38" s="235" t="inlineStr">
        <is>
          <t xml:space="preserve">4. Q4 Margin analysis, FY2025</t>
        </is>
      </c>
      <c r="B38" s="235"/>
      <c r="C38" s="235"/>
      <c r="D38" s="235"/>
      <c r="E38" s="235"/>
      <c r="F38" s="235"/>
      <c r="G38" s="235"/>
      <c r="H38" s="235"/>
    </row>
    <row r="39">
      <c r="A39" s="230" t="inlineStr">
        <is>
          <t xml:space="preserve">Net sales</t>
        </is>
      </c>
      <c r="B39" s="251">
        <f>'C2 Annual IS Forecast'!B9</f>
        <v>416161</v>
      </c>
    </row>
    <row r="40">
      <c r="A40" s="230" t="inlineStr">
        <is>
          <t xml:space="preserve">Gross margin</t>
        </is>
      </c>
      <c r="B40" s="249">
        <f>'C2 Annual IS Forecast'!B14</f>
        <v>0.469051641071605</v>
      </c>
    </row>
    <row r="41">
      <c r="A41" s="230" t="inlineStr">
        <is>
          <t xml:space="preserve">Products gross margin</t>
        </is>
      </c>
      <c r="B41" s="249">
        <f>'C2 Annual IS Forecast'!B15</f>
        <v>0.367706504496699</v>
      </c>
    </row>
    <row r="42">
      <c r="A42" s="230" t="inlineStr">
        <is>
          <t xml:space="preserve">Services gross margin</t>
        </is>
      </c>
      <c r="B42" s="249">
        <f>'C2 Annual IS Forecast'!B16</f>
        <v>0.754081240037377</v>
      </c>
    </row>
    <row r="43">
      <c r="A43" s="230" t="inlineStr">
        <is>
          <t xml:space="preserve">R&amp;D / net sales</t>
        </is>
      </c>
      <c r="B43" s="244">
        <f>'C2 Annual IS Forecast'!B19/'C2 Annual IS Forecast'!B9</f>
        <v>0.0830207539870387</v>
      </c>
    </row>
    <row r="44">
      <c r="A44" s="230" t="inlineStr">
        <is>
          <t xml:space="preserve">SG&amp;A / net sales</t>
        </is>
      </c>
      <c r="B44" s="244">
        <f>'C2 Annual IS Forecast'!B20/'C2 Annual IS Forecast'!B9</f>
        <v>0.066322889458647</v>
      </c>
    </row>
    <row r="45">
      <c r="A45" s="230" t="inlineStr">
        <is>
          <t xml:space="preserve">Operating margin</t>
        </is>
      </c>
      <c r="B45" s="244">
        <f>'C2 Annual IS Forecast'!B22/'C2 Annual IS Forecast'!B9</f>
        <v>0.319707997625919</v>
      </c>
    </row>
    <row r="46">
      <c r="A46" s="230" t="inlineStr">
        <is>
          <t xml:space="preserve">NOPAT margin = NOPAT / net sales</t>
        </is>
      </c>
      <c r="B46" s="245">
        <f>B29/B39</f>
        <v>0.269833549996275</v>
      </c>
    </row>
    <row r="47">
      <c r="A47" s="230" t="inlineStr">
        <is>
          <t xml:space="preserve">Net profit margin</t>
        </is>
      </c>
      <c r="B47" s="244">
        <f>'C2 Annual IS Forecast'!B30/'C2 Annual IS Forecast'!B9</f>
        <v>0.269150641218182</v>
      </c>
    </row>
    <row r="49">
      <c r="A49" s="235" t="inlineStr">
        <is>
          <t xml:space="preserve">5. Q4 Turnover analysis, FY2025 (year-end balances)</t>
        </is>
      </c>
      <c r="B49" s="235"/>
      <c r="C49" s="235"/>
      <c r="D49" s="235"/>
      <c r="E49" s="235"/>
      <c r="F49" s="235"/>
      <c r="G49" s="235"/>
      <c r="H49" s="235"/>
    </row>
    <row r="50">
      <c r="A50" s="230" t="inlineStr">
        <is>
          <t xml:space="preserve">NOA turnover = net sales / NOA</t>
        </is>
      </c>
      <c r="B50" s="255">
        <f>B39/B22</f>
        <v>10.4118338754066</v>
      </c>
    </row>
    <row r="51">
      <c r="A51" s="230" t="inlineStr">
        <is>
          <t xml:space="preserve">Accounts receivable turnover = net sales / A/R</t>
        </is>
      </c>
      <c r="B51" s="254">
        <f>B39/'B Balance Sheet'!B9</f>
        <v>10.4623526158333</v>
      </c>
    </row>
    <row r="52">
      <c r="A52" s="230" t="inlineStr">
        <is>
          <t xml:space="preserve">Inventory turnover = cost of sales / inventories</t>
        </is>
      </c>
      <c r="B52" s="254">
        <f>'C2 Annual IS Forecast'!B12/'B Balance Sheet'!B11</f>
        <v>38.6428821266177</v>
      </c>
    </row>
    <row r="53">
      <c r="A53" s="230" t="inlineStr">
        <is>
          <t xml:space="preserve">Accounts payable turnover = cost of sales / A/P</t>
        </is>
      </c>
      <c r="B53" s="254">
        <f>'C2 Annual IS Forecast'!B12/'B Balance Sheet'!B24</f>
        <v>3.16289722301746</v>
      </c>
    </row>
    <row r="54">
      <c r="A54" s="230" t="inlineStr">
        <is>
          <t xml:space="preserve">PP&amp;E turnover = net sales / net PP&amp;E</t>
        </is>
      </c>
      <c r="B54" s="254">
        <f>B39/'B Balance Sheet'!B17</f>
        <v>8.35094513785769</v>
      </c>
    </row>
    <row r="55">
      <c r="A55" s="230" t="inlineStr">
        <is>
          <t xml:space="preserve">Total asset turnover = net sales / total assets</t>
        </is>
      </c>
      <c r="B55" s="254">
        <f>B39/B10</f>
        <v>1.1584451663368</v>
      </c>
    </row>
    <row r="56">
      <c r="A56" s="230" t="inlineStr">
        <is>
          <t xml:space="preserve">Operating liabilities / operating assets</t>
        </is>
      </c>
      <c r="B56" s="244">
        <f>B21/B15</f>
        <v>0.823781748603524</v>
      </c>
    </row>
    <row r="57">
      <c r="A57" s="230" t="inlineStr">
        <is>
          <t xml:space="preserve">Check: NOPAT margin x NOA turnover - RNOA (should be zero)</t>
        </is>
      </c>
      <c r="B57" s="244">
        <f>B46*B50-B30</f>
        <v>0</v>
      </c>
    </row>
    <row r="59">
      <c r="A59" s="235" t="inlineStr">
        <is>
          <t xml:space="preserve">6. Q6b Forecast turnover and leverage ratios on year-end balances (linked to C2 Annual IS Forecast and G Annual BS Forecast)</t>
        </is>
      </c>
      <c r="B59" s="235"/>
      <c r="C59" s="235"/>
      <c r="D59" s="235"/>
      <c r="E59" s="235"/>
      <c r="F59" s="235"/>
      <c r="G59" s="235"/>
      <c r="H59" s="235"/>
    </row>
    <row r="60">
      <c r="A60" s="236" t="inlineStr">
        <is>
          <t xml:space="preserve">Ratio</t>
        </is>
      </c>
      <c r="B60" s="236" t="inlineStr">
        <is>
          <t xml:space="preserve">FY2026</t>
        </is>
      </c>
      <c r="C60" s="236" t="inlineStr">
        <is>
          <t xml:space="preserve">FY2027</t>
        </is>
      </c>
      <c r="D60" s="236" t="inlineStr">
        <is>
          <t xml:space="preserve">FY2028</t>
        </is>
      </c>
      <c r="E60" s="236" t="inlineStr">
        <is>
          <t xml:space="preserve">FY2029</t>
        </is>
      </c>
      <c r="F60" s="236" t="inlineStr">
        <is>
          <t xml:space="preserve">FY2030</t>
        </is>
      </c>
      <c r="G60" s="236" t="inlineStr">
        <is>
          <t xml:space="preserve">FY2031</t>
        </is>
      </c>
      <c r="H60" s="236" t="inlineStr">
        <is>
          <t xml:space="preserve">FY2032</t>
        </is>
      </c>
    </row>
    <row r="61">
      <c r="A61" s="230" t="inlineStr">
        <is>
          <t xml:space="preserve">A/R turnover (net sales / A/R)</t>
        </is>
      </c>
      <c r="B61" s="254">
        <f>'C2 Annual IS Forecast'!G9/'G Annual BS Forecast'!B9</f>
        <v>10.8700585721174</v>
      </c>
      <c r="C61" s="254">
        <f>'C2 Annual IS Forecast'!H9/'G Annual BS Forecast'!C9</f>
        <v>10.8700585734729</v>
      </c>
      <c r="D61" s="254">
        <f>'C2 Annual IS Forecast'!I9/'G Annual BS Forecast'!D9</f>
        <v>10.870058572023</v>
      </c>
      <c r="E61" s="254">
        <f>'C2 Annual IS Forecast'!J9/'G Annual BS Forecast'!E9</f>
        <v>10.8700585727733</v>
      </c>
      <c r="F61" s="254">
        <f>'C2 Annual IS Forecast'!K9/'G Annual BS Forecast'!F9</f>
        <v>10.8700585725586</v>
      </c>
      <c r="G61" s="254">
        <f>'C2 Annual IS Forecast'!L9/'G Annual BS Forecast'!G9</f>
        <v>10.8700585728377</v>
      </c>
      <c r="H61" s="254">
        <f>'C2 Annual IS Forecast'!M9/'G Annual BS Forecast'!H9</f>
        <v>10.8700585734251</v>
      </c>
    </row>
    <row r="62">
      <c r="A62" s="230" t="inlineStr">
        <is>
          <t xml:space="preserve">Inventory turnover (cost of sales / inventories)</t>
        </is>
      </c>
      <c r="B62" s="254">
        <f>'C2 Annual IS Forecast'!G12/'G Annual BS Forecast'!B11</f>
        <v>20.3156282347424</v>
      </c>
      <c r="C62" s="254">
        <f>'C2 Annual IS Forecast'!H12/'G Annual BS Forecast'!C11</f>
        <v>20.3156282244563</v>
      </c>
      <c r="D62" s="254">
        <f>'C2 Annual IS Forecast'!I12/'G Annual BS Forecast'!D11</f>
        <v>20.3156282265069</v>
      </c>
      <c r="E62" s="254">
        <f>'C2 Annual IS Forecast'!J12/'G Annual BS Forecast'!E11</f>
        <v>20.3156282312399</v>
      </c>
      <c r="F62" s="254">
        <f>'C2 Annual IS Forecast'!K12/'G Annual BS Forecast'!F11</f>
        <v>20.3156282239627</v>
      </c>
      <c r="G62" s="254">
        <f>'C2 Annual IS Forecast'!L12/'G Annual BS Forecast'!G11</f>
        <v>20.3156282259363</v>
      </c>
      <c r="H62" s="254">
        <f>'C2 Annual IS Forecast'!M12/'G Annual BS Forecast'!H11</f>
        <v>20.3156282272497</v>
      </c>
    </row>
    <row r="63">
      <c r="A63" s="230" t="inlineStr">
        <is>
          <t xml:space="preserve">A/P turnover (cost of sales / A/P)</t>
        </is>
      </c>
      <c r="B63" s="254">
        <f>'C2 Annual IS Forecast'!G12/'G Annual BS Forecast'!B24</f>
        <v>3.19479591586361</v>
      </c>
      <c r="C63" s="254">
        <f>'C2 Annual IS Forecast'!H12/'G Annual BS Forecast'!C24</f>
        <v>3.19479591549394</v>
      </c>
      <c r="D63" s="254">
        <f>'C2 Annual IS Forecast'!I12/'G Annual BS Forecast'!D24</f>
        <v>3.19479591536009</v>
      </c>
      <c r="E63" s="254">
        <f>'C2 Annual IS Forecast'!J12/'G Annual BS Forecast'!E24</f>
        <v>3.19479591563062</v>
      </c>
      <c r="F63" s="254">
        <f>'C2 Annual IS Forecast'!K12/'G Annual BS Forecast'!F24</f>
        <v>3.19479591607086</v>
      </c>
      <c r="G63" s="254">
        <f>'C2 Annual IS Forecast'!L12/'G Annual BS Forecast'!G24</f>
        <v>3.19479591524718</v>
      </c>
      <c r="H63" s="254">
        <f>'C2 Annual IS Forecast'!M12/'G Annual BS Forecast'!H24</f>
        <v>3.194795916742</v>
      </c>
    </row>
    <row r="64">
      <c r="A64" s="230" t="inlineStr">
        <is>
          <t xml:space="preserve">Net operating assets</t>
        </is>
      </c>
      <c r="B64" s="256">
        <f>('G Annual BS Forecast'!B21-'G Annual BS Forecast'!B7-'G Annual BS Forecast'!B8-'G Annual BS Forecast'!B16)-('G Annual BS Forecast'!B34-'G Annual BS Forecast'!B27-'G Annual BS Forecast'!B28-'G Annual BS Forecast'!B31)</f>
        <v>55137.1980400001</v>
      </c>
      <c r="C64" s="256">
        <f>('G Annual BS Forecast'!C21-'G Annual BS Forecast'!C7-'G Annual BS Forecast'!C8-'G Annual BS Forecast'!C16)-('G Annual BS Forecast'!C34-'G Annual BS Forecast'!C27-'G Annual BS Forecast'!C28-'G Annual BS Forecast'!C31)</f>
        <v>60072.80058</v>
      </c>
      <c r="D64" s="256">
        <f>('G Annual BS Forecast'!D21-'G Annual BS Forecast'!D7-'G Annual BS Forecast'!D8-'G Annual BS Forecast'!D16)-('G Annual BS Forecast'!D34-'G Annual BS Forecast'!D27-'G Annual BS Forecast'!D28-'G Annual BS Forecast'!D31)</f>
        <v>64757.67547</v>
      </c>
      <c r="E64" s="256">
        <f>('G Annual BS Forecast'!E21-'G Annual BS Forecast'!E7-'G Annual BS Forecast'!E8-'G Annual BS Forecast'!E16)-('G Annual BS Forecast'!E34-'G Annual BS Forecast'!E27-'G Annual BS Forecast'!E28-'G Annual BS Forecast'!E31)</f>
        <v>69271.24363</v>
      </c>
      <c r="F64" s="256">
        <f>('G Annual BS Forecast'!F21-'G Annual BS Forecast'!F7-'G Annual BS Forecast'!F8-'G Annual BS Forecast'!F16)-('G Annual BS Forecast'!F34-'G Annual BS Forecast'!F27-'G Annual BS Forecast'!F28-'G Annual BS Forecast'!F31)</f>
        <v>73663.77557</v>
      </c>
      <c r="G64" s="256">
        <f>('G Annual BS Forecast'!G21-'G Annual BS Forecast'!G7-'G Annual BS Forecast'!G8-'G Annual BS Forecast'!G16)-('G Annual BS Forecast'!G34-'G Annual BS Forecast'!G27-'G Annual BS Forecast'!G28-'G Annual BS Forecast'!G31)</f>
        <v>77900.9992200001</v>
      </c>
      <c r="H64" s="256">
        <f>('G Annual BS Forecast'!H21-'G Annual BS Forecast'!H7-'G Annual BS Forecast'!H8-'G Annual BS Forecast'!H16)-('G Annual BS Forecast'!H34-'G Annual BS Forecast'!H27-'G Annual BS Forecast'!H28-'G Annual BS Forecast'!H31)</f>
        <v>81844.95856</v>
      </c>
    </row>
    <row r="65">
      <c r="A65" s="230" t="inlineStr">
        <is>
          <t xml:space="preserve">NOA turnover (net sales / NOA)</t>
        </is>
      </c>
      <c r="B65" s="254">
        <f>'C2 Annual IS Forecast'!G9/B64</f>
        <v>8.66059642083328</v>
      </c>
      <c r="C65" s="254">
        <f>'C2 Annual IS Forecast'!H9/C64</f>
        <v>8.61351122977727</v>
      </c>
      <c r="D65" s="254">
        <f>'C2 Annual IS Forecast'!I9/D64</f>
        <v>8.5696194971836</v>
      </c>
      <c r="E65" s="254">
        <f>'C2 Annual IS Forecast'!J9/E64</f>
        <v>8.52655885976043</v>
      </c>
      <c r="F65" s="254">
        <f>'C2 Annual IS Forecast'!K9/F64</f>
        <v>8.4863048433617</v>
      </c>
      <c r="G65" s="254">
        <f>'C2 Annual IS Forecast'!L9/G64</f>
        <v>8.44947083337296</v>
      </c>
      <c r="H65" s="254">
        <f>'C2 Annual IS Forecast'!M9/H64</f>
        <v>8.41814116986707</v>
      </c>
    </row>
    <row r="66">
      <c r="A66" s="230" t="inlineStr">
        <is>
          <t xml:space="preserve">RNOA (NOPAT / ending NOA)</t>
        </is>
      </c>
      <c r="B66" s="244">
        <f>'C2 Annual IS Forecast'!G22*(1-'C2 Annual IS Forecast'!G28)/B64</f>
        <v>2.35273187305472</v>
      </c>
      <c r="C66" s="244">
        <f>'C2 Annual IS Forecast'!H22*(1-'C2 Annual IS Forecast'!H28)/C64</f>
        <v>2.40542558404891</v>
      </c>
      <c r="D66" s="244">
        <f>'C2 Annual IS Forecast'!I22*(1-'C2 Annual IS Forecast'!I28)/D64</f>
        <v>2.44443937113421</v>
      </c>
      <c r="E66" s="244">
        <f>'C2 Annual IS Forecast'!J22*(1-'C2 Annual IS Forecast'!J28)/E64</f>
        <v>2.48284159236986</v>
      </c>
      <c r="F66" s="244">
        <f>'C2 Annual IS Forecast'!K22*(1-'C2 Annual IS Forecast'!K28)/F64</f>
        <v>2.51953446978675</v>
      </c>
      <c r="G66" s="244">
        <f>'C2 Annual IS Forecast'!L22*(1-'C2 Annual IS Forecast'!L28)/G64</f>
        <v>2.55419094123078</v>
      </c>
      <c r="H66" s="244">
        <f>'C2 Annual IS Forecast'!M22*(1-'C2 Annual IS Forecast'!M28)/H64</f>
        <v>2.58567247181217</v>
      </c>
    </row>
    <row r="67">
      <c r="A67" s="230" t="inlineStr">
        <is>
          <t xml:space="preserve">Interest-bearing debt / equity</t>
        </is>
      </c>
      <c r="B67" s="248">
        <f>('G Annual BS Forecast'!B27+'G Annual BS Forecast'!B28+'G Annual BS Forecast'!B31)/'G Annual BS Forecast'!B39</f>
        <v>0.788297196873526</v>
      </c>
      <c r="C67" s="248">
        <f>('G Annual BS Forecast'!C27+'G Annual BS Forecast'!C28+'G Annual BS Forecast'!C31)/'G Annual BS Forecast'!C39</f>
        <v>0.650107242861632</v>
      </c>
      <c r="D67" s="248">
        <f>('G Annual BS Forecast'!D27+'G Annual BS Forecast'!D28+'G Annual BS Forecast'!D31)/'G Annual BS Forecast'!D39</f>
        <v>0.552314804116536</v>
      </c>
      <c r="E67" s="248">
        <f>('G Annual BS Forecast'!E27+'G Annual BS Forecast'!E28+'G Annual BS Forecast'!E31)/'G Annual BS Forecast'!E39</f>
        <v>0.478838500766441</v>
      </c>
      <c r="F67" s="248">
        <f>('G Annual BS Forecast'!F27+'G Annual BS Forecast'!F28+'G Annual BS Forecast'!F31)/'G Annual BS Forecast'!F39</f>
        <v>0.421146568978926</v>
      </c>
      <c r="G67" s="248">
        <f>('G Annual BS Forecast'!G27+'G Annual BS Forecast'!G28+'G Annual BS Forecast'!G31)/'G Annual BS Forecast'!G39</f>
        <v>0.374862883948412</v>
      </c>
      <c r="H67" s="248">
        <f>('G Annual BS Forecast'!H27+'G Annual BS Forecast'!H28+'G Annual BS Forecast'!H31)/'G Annual BS Forecast'!H39</f>
        <v>0.337599254926173</v>
      </c>
    </row>
    <row r="68">
      <c r="A68" s="230" t="inlineStr">
        <is>
          <t xml:space="preserve">FLEV (NFO / equity)</t>
        </is>
      </c>
      <c r="B68" s="244">
        <f>(('G Annual BS Forecast'!B27+'G Annual BS Forecast'!B28+'G Annual BS Forecast'!B31)-('G Annual BS Forecast'!B7+'G Annual BS Forecast'!B8+'G Annual BS Forecast'!B16))/'G Annual BS Forecast'!B39</f>
        <v>-0.484675867182106</v>
      </c>
      <c r="C68" s="244">
        <f>(('G Annual BS Forecast'!C27+'G Annual BS Forecast'!C28+'G Annual BS Forecast'!C31)-('G Annual BS Forecast'!C7+'G Annual BS Forecast'!C8+'G Annual BS Forecast'!C16))/'G Annual BS Forecast'!C39</f>
        <v>-0.522649968122196</v>
      </c>
      <c r="D68" s="244">
        <f>(('G Annual BS Forecast'!D27+'G Annual BS Forecast'!D28+'G Annual BS Forecast'!D31)-('G Annual BS Forecast'!D7+'G Annual BS Forecast'!D8+'G Annual BS Forecast'!D16))/'G Annual BS Forecast'!D39</f>
        <v>-0.54930756013088</v>
      </c>
      <c r="E68" s="244">
        <f>(('G Annual BS Forecast'!E27+'G Annual BS Forecast'!E28+'G Annual BS Forecast'!E31)-('G Annual BS Forecast'!E7+'G Annual BS Forecast'!E8+'G Annual BS Forecast'!E16))/'G Annual BS Forecast'!E39</f>
        <v>-0.56910381335186</v>
      </c>
      <c r="F68" s="244">
        <f>(('G Annual BS Forecast'!F27+'G Annual BS Forecast'!F28+'G Annual BS Forecast'!F31)-('G Annual BS Forecast'!F7+'G Annual BS Forecast'!F8+'G Annual BS Forecast'!F16))/'G Annual BS Forecast'!F39</f>
        <v>-0.584523838355495</v>
      </c>
      <c r="G68" s="244">
        <f>(('G Annual BS Forecast'!G27+'G Annual BS Forecast'!G28+'G Annual BS Forecast'!G31)-('G Annual BS Forecast'!G7+'G Annual BS Forecast'!G8+'G Annual BS Forecast'!G16))/'G Annual BS Forecast'!G39</f>
        <v>-0.596816634682206</v>
      </c>
      <c r="H68" s="244">
        <f>(('G Annual BS Forecast'!H27+'G Annual BS Forecast'!H28+'G Annual BS Forecast'!H31)-('G Annual BS Forecast'!H7+'G Annual BS Forecast'!H8+'G Annual BS Forecast'!H16))/'G Annual BS Forecast'!H39</f>
        <v>-0.606713704205002</v>
      </c>
    </row>
    <row r="70">
      <c r="A70" s="233" t="inlineStr">
        <is>
          <t xml:space="preserve">FY2026 uses FY2026 full-year flows over the FY2026 Q4 forecast year-end balance, as in G Annual BS Forecast rows 58 to 61.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2026-10-06T12:15:00Z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2C6001F48FD0437DA051A25A6487B86C_13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